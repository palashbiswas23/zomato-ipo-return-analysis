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49d22be32e4ba9/Desktop/"/>
    </mc:Choice>
  </mc:AlternateContent>
  <xr:revisionPtr revIDLastSave="187" documentId="8_{C014FCEE-03C2-4A63-A789-8201398E9C57}" xr6:coauthVersionLast="47" xr6:coauthVersionMax="47" xr10:uidLastSave="{280EDD17-9430-4F59-ABC3-D070392DB3A4}"/>
  <bookViews>
    <workbookView xWindow="-110" yWindow="-110" windowWidth="19420" windowHeight="10300" activeTab="1" xr2:uid="{71573AE1-60BE-42CB-9337-6412B39154B7}"/>
  </bookViews>
  <sheets>
    <sheet name="Query1" sheetId="2" r:id="rId1"/>
    <sheet name="Sheet1" sheetId="3" r:id="rId2"/>
  </sheets>
  <definedNames>
    <definedName name="ExternalData_1" localSheetId="0" hidden="1">Query1!$A$1:$H$741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3" l="1"/>
  <c r="C8" i="3"/>
  <c r="N3" i="3"/>
  <c r="N4" i="3"/>
  <c r="N5" i="3"/>
  <c r="N6" i="3"/>
  <c r="M3" i="3"/>
  <c r="M4" i="3"/>
  <c r="M5" i="3"/>
  <c r="M6" i="3"/>
  <c r="M7" i="3"/>
  <c r="N7" i="3" s="1"/>
  <c r="M8" i="3"/>
  <c r="N8" i="3" s="1"/>
  <c r="C7" i="3"/>
  <c r="C6" i="3" a="1"/>
  <c r="C6" i="3" s="1"/>
  <c r="C5" i="3"/>
  <c r="C4" i="3"/>
  <c r="C3" i="3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488" i="2"/>
  <c r="H484" i="2"/>
  <c r="H485" i="2"/>
  <c r="H486" i="2"/>
  <c r="H487" i="2"/>
  <c r="H489" i="2"/>
  <c r="H490" i="2"/>
  <c r="H491" i="2"/>
  <c r="H483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52" i="2"/>
  <c r="H19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55ED42-F746-4E92-84B0-31CDDDF16028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<sst xmlns="http://schemas.openxmlformats.org/spreadsheetml/2006/main" count="30" uniqueCount="29">
  <si>
    <t>Date</t>
  </si>
  <si>
    <t>Open</t>
  </si>
  <si>
    <t>High</t>
  </si>
  <si>
    <t>Low</t>
  </si>
  <si>
    <t>Close</t>
  </si>
  <si>
    <t>Volume</t>
  </si>
  <si>
    <t xml:space="preserve">  </t>
  </si>
  <si>
    <t>IPO ISSUE PRICE</t>
  </si>
  <si>
    <t>RETURN_FROM_IPO</t>
  </si>
  <si>
    <t xml:space="preserve"> IPO_DAILY RETURN</t>
  </si>
  <si>
    <t>=</t>
  </si>
  <si>
    <t>Metric</t>
  </si>
  <si>
    <t>Highest Price</t>
  </si>
  <si>
    <t>Lowest Price</t>
  </si>
  <si>
    <t>Average Volume</t>
  </si>
  <si>
    <t>Max Return</t>
  </si>
  <si>
    <t>value</t>
  </si>
  <si>
    <t xml:space="preserve">IPO LISTING GAIN </t>
  </si>
  <si>
    <t>Period</t>
  </si>
  <si>
    <t>Close Price</t>
  </si>
  <si>
    <t>Return</t>
  </si>
  <si>
    <t>Listing Day</t>
  </si>
  <si>
    <t>1 Week</t>
  </si>
  <si>
    <t>1 Month</t>
  </si>
  <si>
    <t>3 Months</t>
  </si>
  <si>
    <t>1 Year</t>
  </si>
  <si>
    <t>3 Years</t>
  </si>
  <si>
    <t>current price</t>
  </si>
  <si>
    <t>ipo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</si>
</sst>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1" applyFont="1"/>
    <xf numFmtId="10" fontId="0" fillId="0" borderId="0" xfId="1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9" fontId="5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9" fontId="0" fillId="0" borderId="0" xfId="1" applyFont="1" applyAlignment="1">
      <alignment vertical="center" wrapText="1"/>
    </xf>
    <xf numFmtId="2" fontId="5" fillId="0" borderId="0" xfId="1" applyNumberFormat="1" applyFont="1" applyAlignment="1">
      <alignment vertical="center" wrapText="1"/>
    </xf>
  </cellXfs>
  <cellStyles count="2">
    <cellStyle name="Normal" xfId="0" builtinId="0"/>
    <cellStyle name="Percent" xfId="1" builtinId="5"/>
  </cellStyles>
  <dxfs count="11">
    <dxf>
      <numFmt numFmtId="0" formatCode="General"/>
    </dxf>
    <dxf>
      <numFmt numFmtId="19" formatCode="m/d/yyyy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4A706F-9EE7-4ADC-9799-A4903F4F7F6A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Date" tableColumnId="1"/>
      <queryTableField id="2" name="Open" tableColumnId="2"/>
      <queryTableField id="3" name="High" tableColumnId="3"/>
      <queryTableField id="4" name="Low" tableColumnId="4"/>
      <queryTableField id="5" name="Close" tableColumnId="5"/>
      <queryTableField id="6" name="Volume" tableColumnId="6"/>
      <queryTableField id="7" name="IPO ISSUE PRICE" tableColumnId="7"/>
      <queryTableField id="8" name="RETURN_FROM_IPO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524038-880A-40A6-A719-092B1906F2AE}" name="Query1" displayName="Query1" ref="A1:I741" tableType="queryTable" totalsRowShown="0">
  <autoFilter ref="A1:I741" xr:uid="{F3524038-880A-40A6-A719-092B1906F2AE}"/>
  <tableColumns count="9">
    <tableColumn id="1" xr3:uid="{4060B959-7C4A-4AAC-8C89-B10B1870E6FF}" uniqueName="1" name="Date" queryTableFieldId="1" dataDxfId="1"/>
    <tableColumn id="2" xr3:uid="{AD7905E8-4B2B-4BAE-81F5-BCC06A991E96}" uniqueName="2" name="Open" queryTableFieldId="2"/>
    <tableColumn id="3" xr3:uid="{06E9BCC7-C560-4BC4-9F98-2354EAFFEEFF}" uniqueName="3" name="High" queryTableFieldId="3"/>
    <tableColumn id="4" xr3:uid="{D4A2FD30-F8F6-4616-9B62-94AA3BB4437B}" uniqueName="4" name="Low" queryTableFieldId="4"/>
    <tableColumn id="5" xr3:uid="{DE462FCD-0444-483C-8C55-61C6B1E44D67}" uniqueName="5" name="Close" queryTableFieldId="5"/>
    <tableColumn id="6" xr3:uid="{0D7A27B0-6D27-4960-BD1A-80BEEA522E48}" uniqueName="6" name="Volume" queryTableFieldId="6"/>
    <tableColumn id="7" xr3:uid="{9D5C379F-3AC9-4B15-BA52-CA14CF51D47F}" uniqueName="7" name="IPO ISSUE PRICE" queryTableFieldId="7"/>
    <tableColumn id="8" xr3:uid="{9CB1C663-6EA4-4063-8A3E-E9D40C34F3C1}" uniqueName="8" name="RETURN_FROM_IPO" queryTableFieldId="8"/>
    <tableColumn id="9" xr3:uid="{957718DB-9AEB-4B1A-8875-C95793FEAC66}" uniqueName="9" name=" IPO_DAILY RETURN" queryTableFieldId="9" dataDxfId="0">
      <calculatedColumnFormula>(Query1[[#This Row],[Close]]-E1)/E1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481744-BF9F-4000-8A4C-A581F9600F43}" name="Table2" displayName="Table2" ref="B2:C9" totalsRowShown="0" headerRowDxfId="10">
  <autoFilter ref="B2:C9" xr:uid="{44481744-BF9F-4000-8A4C-A581F9600F43}"/>
  <tableColumns count="2">
    <tableColumn id="1" xr3:uid="{2A46FA40-138F-44AF-9EEE-C67BE45F27BC}" name="Metric" dataDxfId="9"/>
    <tableColumn id="2" xr3:uid="{EEC3036A-8994-4F2C-973F-C79056695002}" name="value" dataDxfId="8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59DDCF-DD01-4D88-8634-E48EE22695C3}" name="Table3" displayName="Table3" ref="K2:N8" totalsRowShown="0" headerRowDxfId="7" dataDxfId="6">
  <autoFilter ref="K2:N8" xr:uid="{C559DDCF-DD01-4D88-8634-E48EE22695C3}"/>
  <tableColumns count="4">
    <tableColumn id="1" xr3:uid="{4A1CA4E4-823E-482C-A07A-A3DAE2E662C8}" name="Period" dataDxfId="5"/>
    <tableColumn id="2" xr3:uid="{DA63EDFB-6A81-4FAA-BBB3-3CE9070190AA}" name="Date" dataDxfId="4"/>
    <tableColumn id="3" xr3:uid="{9732FEEF-5163-463A-A986-D00A0F032BAC}" name="Close Price" dataDxfId="3">
      <calculatedColumnFormula>_xlfn.XLOOKUP(Table3[[#This Row],[Date]],Query1[Date],Query1[Close],FALSE)</calculatedColumnFormula>
    </tableColumn>
    <tableColumn id="4" xr3:uid="{E817758D-673C-43D6-9422-B55701627F8C}" name="Return" dataDxfId="2" dataCellStyle="Percent">
      <calculatedColumnFormula>(Table3[[#This Row],[Close Price]]-76)/76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2FC3-4F5D-42DE-B9AB-ACA239AE2934}">
  <dimension ref="A1:M741"/>
  <sheetViews>
    <sheetView topLeftCell="A46" zoomScale="87" workbookViewId="0">
      <selection activeCell="A742" sqref="A742"/>
    </sheetView>
  </sheetViews>
  <sheetFormatPr defaultRowHeight="14.5"/>
  <cols>
    <col min="1" max="1" width="10.54296875" bestFit="1" customWidth="1"/>
    <col min="2" max="2" width="8" bestFit="1" customWidth="1"/>
    <col min="3" max="3" width="7.26953125" bestFit="1" customWidth="1"/>
    <col min="4" max="4" width="7.1796875" bestFit="1" customWidth="1"/>
    <col min="5" max="5" width="8.36328125" bestFit="1" customWidth="1"/>
    <col min="6" max="6" width="10.36328125" bestFit="1" customWidth="1"/>
    <col min="7" max="7" width="16.90625" bestFit="1" customWidth="1"/>
    <col min="8" max="8" width="19.54296875" bestFit="1" customWidth="1"/>
    <col min="9" max="9" width="19.453125" bestFit="1" customWidth="1"/>
    <col min="17" max="17" width="10.08984375" bestFit="1" customWidth="1"/>
    <col min="18" max="18" width="12.1796875" customWidth="1"/>
    <col min="19" max="19" width="13.9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s="2" t="s">
        <v>8</v>
      </c>
      <c r="I1" t="s">
        <v>9</v>
      </c>
    </row>
    <row r="2" spans="1:13">
      <c r="A2" s="1">
        <v>44400</v>
      </c>
      <c r="B2">
        <v>116</v>
      </c>
      <c r="C2">
        <v>138.9</v>
      </c>
      <c r="D2">
        <v>115</v>
      </c>
      <c r="E2">
        <v>126</v>
      </c>
      <c r="F2">
        <v>694895200</v>
      </c>
      <c r="G2">
        <v>76</v>
      </c>
      <c r="H2" s="2">
        <f>(Query1[[#This Row],[Close]]-Query1[[#This Row],[IPO ISSUE PRICE]])/Query1[[#This Row],[IPO ISSUE PRICE]]</f>
        <v>0.65789473684210531</v>
      </c>
      <c r="I2">
        <v>0</v>
      </c>
    </row>
    <row r="3" spans="1:13">
      <c r="A3" s="1">
        <v>44403</v>
      </c>
      <c r="B3">
        <v>126.35</v>
      </c>
      <c r="C3">
        <v>143.75</v>
      </c>
      <c r="D3">
        <v>125.3</v>
      </c>
      <c r="E3">
        <v>140.65</v>
      </c>
      <c r="F3">
        <v>249723800</v>
      </c>
      <c r="G3">
        <v>76</v>
      </c>
      <c r="H3" s="2">
        <f>(Query1[[#This Row],[Close]]-Query1[[#This Row],[IPO ISSUE PRICE]])/Query1[[#This Row],[IPO ISSUE PRICE]]</f>
        <v>0.85065789473684217</v>
      </c>
      <c r="I3" s="3">
        <f>(Query1[[#This Row],[Close]]-E2)/E2</f>
        <v>0.11626984126984131</v>
      </c>
      <c r="K3" t="s">
        <v>6</v>
      </c>
      <c r="M3" t="s">
        <v>10</v>
      </c>
    </row>
    <row r="4" spans="1:13">
      <c r="A4" s="1">
        <v>44404</v>
      </c>
      <c r="B4">
        <v>141.69999999999999</v>
      </c>
      <c r="C4">
        <v>147.80000000000001</v>
      </c>
      <c r="D4">
        <v>127.75</v>
      </c>
      <c r="E4">
        <v>132.9</v>
      </c>
      <c r="F4">
        <v>240341900</v>
      </c>
      <c r="G4">
        <v>76</v>
      </c>
      <c r="H4" s="2">
        <f>(Query1[[#This Row],[Close]]-Query1[[#This Row],[IPO ISSUE PRICE]])/Query1[[#This Row],[IPO ISSUE PRICE]]</f>
        <v>0.74868421052631584</v>
      </c>
      <c r="I4" s="3">
        <f>(Query1[[#This Row],[Close]]-E3)/E3</f>
        <v>-5.5101315321720579E-2</v>
      </c>
    </row>
    <row r="5" spans="1:13">
      <c r="A5" s="1">
        <v>44405</v>
      </c>
      <c r="B5">
        <v>131</v>
      </c>
      <c r="C5">
        <v>135</v>
      </c>
      <c r="D5">
        <v>123.55</v>
      </c>
      <c r="E5">
        <v>131.19999999999999</v>
      </c>
      <c r="F5">
        <v>159793700</v>
      </c>
      <c r="G5">
        <v>76</v>
      </c>
      <c r="H5" s="2">
        <f>(Query1[[#This Row],[Close]]-Query1[[#This Row],[IPO ISSUE PRICE]])/Query1[[#This Row],[IPO ISSUE PRICE]]</f>
        <v>0.72631578947368403</v>
      </c>
      <c r="I5" s="3">
        <f>(Query1[[#This Row],[Close]]-E4)/E4</f>
        <v>-1.2791572610985831E-2</v>
      </c>
    </row>
    <row r="6" spans="1:13">
      <c r="A6" s="1">
        <v>44406</v>
      </c>
      <c r="B6">
        <v>134.94999999999999</v>
      </c>
      <c r="C6">
        <v>144</v>
      </c>
      <c r="D6">
        <v>132.19999999999999</v>
      </c>
      <c r="E6">
        <v>141.55000000000001</v>
      </c>
      <c r="F6">
        <v>117973000</v>
      </c>
      <c r="G6">
        <v>76</v>
      </c>
      <c r="H6" s="2">
        <f>(Query1[[#This Row],[Close]]-Query1[[#This Row],[IPO ISSUE PRICE]])/Query1[[#This Row],[IPO ISSUE PRICE]]</f>
        <v>0.86250000000000016</v>
      </c>
      <c r="I6" s="3">
        <f>(Query1[[#This Row],[Close]]-E5)/E5</f>
        <v>7.8887195121951401E-2</v>
      </c>
    </row>
    <row r="7" spans="1:13">
      <c r="A7" s="1">
        <v>44407</v>
      </c>
      <c r="B7">
        <v>142.6</v>
      </c>
      <c r="C7">
        <v>142.69999999999999</v>
      </c>
      <c r="D7">
        <v>131</v>
      </c>
      <c r="E7">
        <v>133.5</v>
      </c>
      <c r="F7">
        <v>88312520</v>
      </c>
      <c r="G7">
        <v>76</v>
      </c>
      <c r="H7" s="2">
        <f>(Query1[[#This Row],[Close]]-Query1[[#This Row],[IPO ISSUE PRICE]])/Query1[[#This Row],[IPO ISSUE PRICE]]</f>
        <v>0.75657894736842102</v>
      </c>
      <c r="I7" s="3">
        <f>(Query1[[#This Row],[Close]]-E6)/E6</f>
        <v>-5.687036382903575E-2</v>
      </c>
    </row>
    <row r="8" spans="1:13">
      <c r="A8" s="1">
        <v>44410</v>
      </c>
      <c r="B8">
        <v>135.75</v>
      </c>
      <c r="C8">
        <v>140.75</v>
      </c>
      <c r="D8">
        <v>135.15</v>
      </c>
      <c r="E8">
        <v>139.69999999999999</v>
      </c>
      <c r="F8">
        <v>66909730</v>
      </c>
      <c r="G8">
        <v>76</v>
      </c>
      <c r="H8" s="2">
        <f>(Query1[[#This Row],[Close]]-Query1[[#This Row],[IPO ISSUE PRICE]])/Query1[[#This Row],[IPO ISSUE PRICE]]</f>
        <v>0.83815789473684199</v>
      </c>
      <c r="I8" s="3">
        <f>(Query1[[#This Row],[Close]]-E7)/E7</f>
        <v>4.6441947565542985E-2</v>
      </c>
    </row>
    <row r="9" spans="1:13">
      <c r="A9" s="1">
        <v>44411</v>
      </c>
      <c r="B9">
        <v>137</v>
      </c>
      <c r="C9">
        <v>140.80000000000001</v>
      </c>
      <c r="D9">
        <v>137</v>
      </c>
      <c r="E9">
        <v>139.4</v>
      </c>
      <c r="F9">
        <v>46610000</v>
      </c>
      <c r="G9">
        <v>76</v>
      </c>
      <c r="H9" s="2">
        <f>(Query1[[#This Row],[Close]]-Query1[[#This Row],[IPO ISSUE PRICE]])/Query1[[#This Row],[IPO ISSUE PRICE]]</f>
        <v>0.83421052631578951</v>
      </c>
      <c r="I9" s="3">
        <f>(Query1[[#This Row],[Close]]-E8)/E8</f>
        <v>-2.1474588403721045E-3</v>
      </c>
    </row>
    <row r="10" spans="1:13">
      <c r="A10" s="1">
        <v>44412</v>
      </c>
      <c r="B10">
        <v>139.80000000000001</v>
      </c>
      <c r="C10">
        <v>141</v>
      </c>
      <c r="D10">
        <v>135.25</v>
      </c>
      <c r="E10">
        <v>138.4</v>
      </c>
      <c r="F10">
        <v>41134410</v>
      </c>
      <c r="G10">
        <v>76</v>
      </c>
      <c r="H10" s="2">
        <f>(Query1[[#This Row],[Close]]-Query1[[#This Row],[IPO ISSUE PRICE]])/Query1[[#This Row],[IPO ISSUE PRICE]]</f>
        <v>0.82105263157894748</v>
      </c>
      <c r="I10" s="3">
        <f>(Query1[[#This Row],[Close]]-E9)/E9</f>
        <v>-7.1736011477761836E-3</v>
      </c>
    </row>
    <row r="11" spans="1:13">
      <c r="A11" s="1">
        <v>44413</v>
      </c>
      <c r="B11">
        <v>138.75</v>
      </c>
      <c r="C11">
        <v>138.9</v>
      </c>
      <c r="D11">
        <v>132</v>
      </c>
      <c r="E11">
        <v>134.94999999999999</v>
      </c>
      <c r="F11">
        <v>38437130</v>
      </c>
      <c r="G11">
        <v>76</v>
      </c>
      <c r="H11" s="2">
        <f>(Query1[[#This Row],[Close]]-Query1[[#This Row],[IPO ISSUE PRICE]])/Query1[[#This Row],[IPO ISSUE PRICE]]</f>
        <v>0.77565789473684199</v>
      </c>
      <c r="I11" s="3">
        <f>(Query1[[#This Row],[Close]]-E10)/E10</f>
        <v>-2.4927745664740007E-2</v>
      </c>
      <c r="M11" s="2"/>
    </row>
    <row r="12" spans="1:13">
      <c r="A12" s="1">
        <v>44414</v>
      </c>
      <c r="B12">
        <v>135.5</v>
      </c>
      <c r="C12">
        <v>136.19999999999999</v>
      </c>
      <c r="D12">
        <v>130.1</v>
      </c>
      <c r="E12">
        <v>131.35</v>
      </c>
      <c r="F12">
        <v>31975350</v>
      </c>
      <c r="G12">
        <v>76</v>
      </c>
      <c r="H12" s="2">
        <f>(Query1[[#This Row],[Close]]-Query1[[#This Row],[IPO ISSUE PRICE]])/Query1[[#This Row],[IPO ISSUE PRICE]]</f>
        <v>0.72828947368421049</v>
      </c>
      <c r="I12" s="3">
        <f>(Query1[[#This Row],[Close]]-E11)/E11</f>
        <v>-2.6676546869210779E-2</v>
      </c>
    </row>
    <row r="13" spans="1:13">
      <c r="A13" s="1">
        <v>44417</v>
      </c>
      <c r="B13">
        <v>132.4</v>
      </c>
      <c r="C13">
        <v>133.55000000000001</v>
      </c>
      <c r="D13">
        <v>127.25</v>
      </c>
      <c r="E13">
        <v>130.6</v>
      </c>
      <c r="F13">
        <v>41358290</v>
      </c>
      <c r="G13">
        <v>76</v>
      </c>
      <c r="H13" s="2">
        <f>(Query1[[#This Row],[Close]]-Query1[[#This Row],[IPO ISSUE PRICE]])/Query1[[#This Row],[IPO ISSUE PRICE]]</f>
        <v>0.71842105263157885</v>
      </c>
      <c r="I13" s="3">
        <f>(Query1[[#This Row],[Close]]-E12)/E12</f>
        <v>-5.7099352874000761E-3</v>
      </c>
    </row>
    <row r="14" spans="1:13">
      <c r="A14" s="1">
        <v>44418</v>
      </c>
      <c r="B14">
        <v>131</v>
      </c>
      <c r="C14">
        <v>131.44999999999999</v>
      </c>
      <c r="D14">
        <v>122.1</v>
      </c>
      <c r="E14">
        <v>125.2</v>
      </c>
      <c r="F14">
        <v>43164000</v>
      </c>
      <c r="G14">
        <v>76</v>
      </c>
      <c r="H14" s="2">
        <f>(Query1[[#This Row],[Close]]-Query1[[#This Row],[IPO ISSUE PRICE]])/Query1[[#This Row],[IPO ISSUE PRICE]]</f>
        <v>0.64736842105263159</v>
      </c>
      <c r="I14" s="3">
        <f>(Query1[[#This Row],[Close]]-E13)/E13</f>
        <v>-4.1347626339969308E-2</v>
      </c>
    </row>
    <row r="15" spans="1:13">
      <c r="A15" s="1">
        <v>44419</v>
      </c>
      <c r="B15">
        <v>123</v>
      </c>
      <c r="C15">
        <v>138.75</v>
      </c>
      <c r="D15">
        <v>123</v>
      </c>
      <c r="E15">
        <v>135.65</v>
      </c>
      <c r="F15">
        <v>111702700</v>
      </c>
      <c r="G15">
        <v>76</v>
      </c>
      <c r="H15" s="2">
        <f>(Query1[[#This Row],[Close]]-Query1[[#This Row],[IPO ISSUE PRICE]])/Query1[[#This Row],[IPO ISSUE PRICE]]</f>
        <v>0.78486842105263166</v>
      </c>
      <c r="I15" s="3">
        <f>(Query1[[#This Row],[Close]]-E14)/E14</f>
        <v>8.3466453674121421E-2</v>
      </c>
    </row>
    <row r="16" spans="1:13">
      <c r="A16" s="1">
        <v>44420</v>
      </c>
      <c r="B16">
        <v>135.65</v>
      </c>
      <c r="C16">
        <v>137.4</v>
      </c>
      <c r="D16">
        <v>132.05000000000001</v>
      </c>
      <c r="E16">
        <v>135.44999999999999</v>
      </c>
      <c r="F16">
        <v>51256670</v>
      </c>
      <c r="G16">
        <v>76</v>
      </c>
      <c r="H16" s="2">
        <f>(Query1[[#This Row],[Close]]-Query1[[#This Row],[IPO ISSUE PRICE]])/Query1[[#This Row],[IPO ISSUE PRICE]]</f>
        <v>0.78223684210526301</v>
      </c>
      <c r="I16" s="3">
        <f>(Query1[[#This Row],[Close]]-E15)/E15</f>
        <v>-1.4743826022854186E-3</v>
      </c>
    </row>
    <row r="17" spans="1:9">
      <c r="A17" s="1">
        <v>44421</v>
      </c>
      <c r="B17">
        <v>133.85</v>
      </c>
      <c r="C17">
        <v>139.75</v>
      </c>
      <c r="D17">
        <v>132.1</v>
      </c>
      <c r="E17">
        <v>137.35</v>
      </c>
      <c r="F17">
        <v>33674300</v>
      </c>
      <c r="G17">
        <v>76</v>
      </c>
      <c r="H17" s="2">
        <f>(Query1[[#This Row],[Close]]-Query1[[#This Row],[IPO ISSUE PRICE]])/Query1[[#This Row],[IPO ISSUE PRICE]]</f>
        <v>0.80723684210526303</v>
      </c>
      <c r="I17" s="3">
        <f>(Query1[[#This Row],[Close]]-E16)/E16</f>
        <v>1.4027316352897791E-2</v>
      </c>
    </row>
    <row r="18" spans="1:9">
      <c r="A18" s="1">
        <v>44424</v>
      </c>
      <c r="B18">
        <v>136.4</v>
      </c>
      <c r="C18">
        <v>136.9</v>
      </c>
      <c r="D18">
        <v>132.25</v>
      </c>
      <c r="E18">
        <v>134.94999999999999</v>
      </c>
      <c r="F18">
        <v>20305360</v>
      </c>
      <c r="G18">
        <v>76</v>
      </c>
      <c r="H18" s="2">
        <f>(Query1[[#This Row],[Close]]-Query1[[#This Row],[IPO ISSUE PRICE]])/Query1[[#This Row],[IPO ISSUE PRICE]]</f>
        <v>0.77565789473684199</v>
      </c>
      <c r="I18" s="3">
        <f>(Query1[[#This Row],[Close]]-E17)/E17</f>
        <v>-1.7473607571896657E-2</v>
      </c>
    </row>
    <row r="19" spans="1:9">
      <c r="A19" s="1">
        <v>44425</v>
      </c>
      <c r="B19">
        <v>132.80000000000001</v>
      </c>
      <c r="C19">
        <v>134.35</v>
      </c>
      <c r="D19">
        <v>130.6</v>
      </c>
      <c r="E19">
        <v>132.5</v>
      </c>
      <c r="F19">
        <v>15815180</v>
      </c>
      <c r="G19">
        <v>76</v>
      </c>
      <c r="H19" s="2">
        <f>(Query1[[#This Row],[Close]]-Query1[[#This Row],[IPO ISSUE PRICE]])/Query1[[#This Row],[IPO ISSUE PRICE]]</f>
        <v>0.74342105263157898</v>
      </c>
      <c r="I19" s="3">
        <f>(Query1[[#This Row],[Close]]-E18)/E18</f>
        <v>-1.8154872174879502E-2</v>
      </c>
    </row>
    <row r="20" spans="1:9">
      <c r="A20" s="1">
        <v>44426</v>
      </c>
      <c r="B20">
        <v>134.5</v>
      </c>
      <c r="C20">
        <v>136.80000000000001</v>
      </c>
      <c r="D20">
        <v>133.30000000000001</v>
      </c>
      <c r="E20">
        <v>134.94999999999999</v>
      </c>
      <c r="F20">
        <v>22566920</v>
      </c>
      <c r="G20">
        <v>76</v>
      </c>
      <c r="H20" s="2">
        <f>(Query1[[#This Row],[Close]]-Query1[[#This Row],[IPO ISSUE PRICE]])/Query1[[#This Row],[IPO ISSUE PRICE]]</f>
        <v>0.77565789473684199</v>
      </c>
      <c r="I20" s="3">
        <f>(Query1[[#This Row],[Close]]-E19)/E19</f>
        <v>1.8490566037735762E-2</v>
      </c>
    </row>
    <row r="21" spans="1:9">
      <c r="A21" s="1">
        <v>44428</v>
      </c>
      <c r="B21">
        <v>134.94999999999999</v>
      </c>
      <c r="C21">
        <v>141.44999999999999</v>
      </c>
      <c r="D21">
        <v>133</v>
      </c>
      <c r="E21">
        <v>139.30000000000001</v>
      </c>
      <c r="F21">
        <v>53789580</v>
      </c>
      <c r="G21">
        <v>76</v>
      </c>
      <c r="H21" s="2">
        <f>(Query1[[#This Row],[Close]]-Query1[[#This Row],[IPO ISSUE PRICE]])/Query1[[#This Row],[IPO ISSUE PRICE]]</f>
        <v>0.83289473684210547</v>
      </c>
      <c r="I21" s="3">
        <f>(Query1[[#This Row],[Close]]-E20)/E20</f>
        <v>3.2234160800296577E-2</v>
      </c>
    </row>
    <row r="22" spans="1:9">
      <c r="A22" s="1">
        <v>44431</v>
      </c>
      <c r="B22">
        <v>137.80000000000001</v>
      </c>
      <c r="C22">
        <v>137.80000000000001</v>
      </c>
      <c r="D22">
        <v>124.75</v>
      </c>
      <c r="E22">
        <v>127.25</v>
      </c>
      <c r="F22">
        <v>68470860</v>
      </c>
      <c r="G22">
        <v>76</v>
      </c>
      <c r="H22" s="2">
        <f>(Query1[[#This Row],[Close]]-Query1[[#This Row],[IPO ISSUE PRICE]])/Query1[[#This Row],[IPO ISSUE PRICE]]</f>
        <v>0.67434210526315785</v>
      </c>
      <c r="I22" s="3">
        <f>(Query1[[#This Row],[Close]]-E21)/E21</f>
        <v>-8.6503948312993614E-2</v>
      </c>
    </row>
    <row r="23" spans="1:9">
      <c r="A23" s="1">
        <v>44432</v>
      </c>
      <c r="B23">
        <v>127.25</v>
      </c>
      <c r="C23">
        <v>127.95</v>
      </c>
      <c r="D23">
        <v>120.5</v>
      </c>
      <c r="E23">
        <v>125</v>
      </c>
      <c r="F23">
        <v>56713550</v>
      </c>
      <c r="G23">
        <v>76</v>
      </c>
      <c r="H23" s="2">
        <f>(Query1[[#This Row],[Close]]-Query1[[#This Row],[IPO ISSUE PRICE]])/Query1[[#This Row],[IPO ISSUE PRICE]]</f>
        <v>0.64473684210526316</v>
      </c>
      <c r="I23" s="3">
        <f>(Query1[[#This Row],[Close]]-E22)/E22</f>
        <v>-1.768172888015717E-2</v>
      </c>
    </row>
    <row r="24" spans="1:9">
      <c r="A24" s="1">
        <v>44433</v>
      </c>
      <c r="B24">
        <v>126</v>
      </c>
      <c r="C24">
        <v>128.5</v>
      </c>
      <c r="D24">
        <v>123.1</v>
      </c>
      <c r="E24">
        <v>124.25</v>
      </c>
      <c r="F24">
        <v>51078810</v>
      </c>
      <c r="G24">
        <v>76</v>
      </c>
      <c r="H24" s="2">
        <f>(Query1[[#This Row],[Close]]-Query1[[#This Row],[IPO ISSUE PRICE]])/Query1[[#This Row],[IPO ISSUE PRICE]]</f>
        <v>0.63486842105263153</v>
      </c>
      <c r="I24" s="3">
        <f>(Query1[[#This Row],[Close]]-E23)/E23</f>
        <v>-6.0000000000000001E-3</v>
      </c>
    </row>
    <row r="25" spans="1:9">
      <c r="A25" s="1">
        <v>44434</v>
      </c>
      <c r="B25">
        <v>125.25</v>
      </c>
      <c r="C25">
        <v>127.15</v>
      </c>
      <c r="D25">
        <v>124.35</v>
      </c>
      <c r="E25">
        <v>125.85</v>
      </c>
      <c r="F25">
        <v>20645400</v>
      </c>
      <c r="G25">
        <v>76</v>
      </c>
      <c r="H25" s="2">
        <f>(Query1[[#This Row],[Close]]-Query1[[#This Row],[IPO ISSUE PRICE]])/Query1[[#This Row],[IPO ISSUE PRICE]]</f>
        <v>0.65592105263157885</v>
      </c>
      <c r="I25" s="3">
        <f>(Query1[[#This Row],[Close]]-E24)/E24</f>
        <v>1.2877263581488888E-2</v>
      </c>
    </row>
    <row r="26" spans="1:9">
      <c r="A26" s="1">
        <v>44435</v>
      </c>
      <c r="B26">
        <v>126.6</v>
      </c>
      <c r="C26">
        <v>129.5</v>
      </c>
      <c r="D26">
        <v>124.1</v>
      </c>
      <c r="E26">
        <v>124.7</v>
      </c>
      <c r="F26">
        <v>22227590</v>
      </c>
      <c r="G26">
        <v>76</v>
      </c>
      <c r="H26" s="2">
        <f>(Query1[[#This Row],[Close]]-Query1[[#This Row],[IPO ISSUE PRICE]])/Query1[[#This Row],[IPO ISSUE PRICE]]</f>
        <v>0.64078947368421058</v>
      </c>
      <c r="I26" s="3">
        <f>(Query1[[#This Row],[Close]]-E25)/E25</f>
        <v>-9.1378625347635408E-3</v>
      </c>
    </row>
    <row r="27" spans="1:9">
      <c r="A27" s="1">
        <v>44438</v>
      </c>
      <c r="B27">
        <v>127.85</v>
      </c>
      <c r="C27">
        <v>135.44999999999999</v>
      </c>
      <c r="D27">
        <v>127.55</v>
      </c>
      <c r="E27">
        <v>133.55000000000001</v>
      </c>
      <c r="F27">
        <v>45239080</v>
      </c>
      <c r="G27">
        <v>76</v>
      </c>
      <c r="H27" s="2">
        <f>(Query1[[#This Row],[Close]]-Query1[[#This Row],[IPO ISSUE PRICE]])/Query1[[#This Row],[IPO ISSUE PRICE]]</f>
        <v>0.75723684210526332</v>
      </c>
      <c r="I27" s="3">
        <f>(Query1[[#This Row],[Close]]-E26)/E26</f>
        <v>7.0970328789093887E-2</v>
      </c>
    </row>
    <row r="28" spans="1:9">
      <c r="A28" s="1">
        <v>44439</v>
      </c>
      <c r="B28">
        <v>134</v>
      </c>
      <c r="C28">
        <v>135.19999999999999</v>
      </c>
      <c r="D28">
        <v>131.35</v>
      </c>
      <c r="E28">
        <v>134.55000000000001</v>
      </c>
      <c r="F28">
        <v>24640920</v>
      </c>
      <c r="G28">
        <v>76</v>
      </c>
      <c r="H28" s="2">
        <f>(Query1[[#This Row],[Close]]-Query1[[#This Row],[IPO ISSUE PRICE]])/Query1[[#This Row],[IPO ISSUE PRICE]]</f>
        <v>0.77039473684210547</v>
      </c>
      <c r="I28" s="3">
        <f>(Query1[[#This Row],[Close]]-E27)/E27</f>
        <v>7.4878322725570939E-3</v>
      </c>
    </row>
    <row r="29" spans="1:9">
      <c r="A29" s="1">
        <v>44440</v>
      </c>
      <c r="B29">
        <v>134.55000000000001</v>
      </c>
      <c r="C29">
        <v>135.1</v>
      </c>
      <c r="D29">
        <v>130.69999999999999</v>
      </c>
      <c r="E29">
        <v>132.6</v>
      </c>
      <c r="F29">
        <v>16162260</v>
      </c>
      <c r="G29">
        <v>76</v>
      </c>
      <c r="H29" s="2">
        <f>(Query1[[#This Row],[Close]]-Query1[[#This Row],[IPO ISSUE PRICE]])/Query1[[#This Row],[IPO ISSUE PRICE]]</f>
        <v>0.74473684210526303</v>
      </c>
      <c r="I29" s="3">
        <f>(Query1[[#This Row],[Close]]-E28)/E28</f>
        <v>-1.4492753623188531E-2</v>
      </c>
    </row>
    <row r="30" spans="1:9">
      <c r="A30" s="1">
        <v>44441</v>
      </c>
      <c r="B30">
        <v>132</v>
      </c>
      <c r="C30">
        <v>138.5</v>
      </c>
      <c r="D30">
        <v>131.5</v>
      </c>
      <c r="E30">
        <v>137.6</v>
      </c>
      <c r="F30">
        <v>27882460</v>
      </c>
      <c r="G30">
        <v>76</v>
      </c>
      <c r="H30" s="2">
        <f>(Query1[[#This Row],[Close]]-Query1[[#This Row],[IPO ISSUE PRICE]])/Query1[[#This Row],[IPO ISSUE PRICE]]</f>
        <v>0.81052631578947365</v>
      </c>
      <c r="I30" s="3">
        <f>(Query1[[#This Row],[Close]]-E29)/E29</f>
        <v>3.7707390648567124E-2</v>
      </c>
    </row>
    <row r="31" spans="1:9">
      <c r="A31" s="1">
        <v>44442</v>
      </c>
      <c r="B31">
        <v>135.94999999999999</v>
      </c>
      <c r="C31">
        <v>151.4</v>
      </c>
      <c r="D31">
        <v>135.6</v>
      </c>
      <c r="E31">
        <v>149.75</v>
      </c>
      <c r="F31">
        <v>113381500</v>
      </c>
      <c r="G31">
        <v>76</v>
      </c>
      <c r="H31" s="2">
        <f>(Query1[[#This Row],[Close]]-Query1[[#This Row],[IPO ISSUE PRICE]])/Query1[[#This Row],[IPO ISSUE PRICE]]</f>
        <v>0.97039473684210531</v>
      </c>
      <c r="I31" s="3">
        <f>(Query1[[#This Row],[Close]]-E30)/E30</f>
        <v>8.8299418604651209E-2</v>
      </c>
    </row>
    <row r="32" spans="1:9">
      <c r="A32" s="1">
        <v>44445</v>
      </c>
      <c r="B32">
        <v>149.25</v>
      </c>
      <c r="C32">
        <v>149.35</v>
      </c>
      <c r="D32">
        <v>143.25</v>
      </c>
      <c r="E32">
        <v>144.05000000000001</v>
      </c>
      <c r="F32">
        <v>34811620</v>
      </c>
      <c r="G32">
        <v>76</v>
      </c>
      <c r="H32" s="2">
        <f>(Query1[[#This Row],[Close]]-Query1[[#This Row],[IPO ISSUE PRICE]])/Query1[[#This Row],[IPO ISSUE PRICE]]</f>
        <v>0.89539473684210547</v>
      </c>
      <c r="I32" s="3">
        <f>(Query1[[#This Row],[Close]]-E31)/E31</f>
        <v>-3.8063439065108437E-2</v>
      </c>
    </row>
    <row r="33" spans="1:9">
      <c r="A33" s="1">
        <v>44446</v>
      </c>
      <c r="B33">
        <v>144.9</v>
      </c>
      <c r="C33">
        <v>146.85</v>
      </c>
      <c r="D33">
        <v>138.55000000000001</v>
      </c>
      <c r="E33">
        <v>140.05000000000001</v>
      </c>
      <c r="F33">
        <v>30421930</v>
      </c>
      <c r="G33">
        <v>76</v>
      </c>
      <c r="H33" s="2">
        <f>(Query1[[#This Row],[Close]]-Query1[[#This Row],[IPO ISSUE PRICE]])/Query1[[#This Row],[IPO ISSUE PRICE]]</f>
        <v>0.84276315789473699</v>
      </c>
      <c r="I33" s="3">
        <f>(Query1[[#This Row],[Close]]-E32)/E32</f>
        <v>-2.7768136063866709E-2</v>
      </c>
    </row>
    <row r="34" spans="1:9">
      <c r="A34" s="1">
        <v>44447</v>
      </c>
      <c r="B34">
        <v>141</v>
      </c>
      <c r="C34">
        <v>143.6</v>
      </c>
      <c r="D34">
        <v>139.05000000000001</v>
      </c>
      <c r="E34">
        <v>141.25</v>
      </c>
      <c r="F34">
        <v>28133280</v>
      </c>
      <c r="G34">
        <v>76</v>
      </c>
      <c r="H34" s="2">
        <f>(Query1[[#This Row],[Close]]-Query1[[#This Row],[IPO ISSUE PRICE]])/Query1[[#This Row],[IPO ISSUE PRICE]]</f>
        <v>0.85855263157894735</v>
      </c>
      <c r="I34" s="3">
        <f>(Query1[[#This Row],[Close]]-E33)/E33</f>
        <v>8.5683684398428321E-3</v>
      </c>
    </row>
    <row r="35" spans="1:9">
      <c r="A35" s="1">
        <v>44448</v>
      </c>
      <c r="B35">
        <v>141.4</v>
      </c>
      <c r="C35">
        <v>142.9</v>
      </c>
      <c r="D35">
        <v>140</v>
      </c>
      <c r="E35">
        <v>141.6</v>
      </c>
      <c r="F35">
        <v>18970690</v>
      </c>
      <c r="G35">
        <v>76</v>
      </c>
      <c r="H35" s="2">
        <f>(Query1[[#This Row],[Close]]-Query1[[#This Row],[IPO ISSUE PRICE]])/Query1[[#This Row],[IPO ISSUE PRICE]]</f>
        <v>0.86315789473684201</v>
      </c>
      <c r="I35" s="3">
        <f>(Query1[[#This Row],[Close]]-E34)/E34</f>
        <v>2.4778761061946498E-3</v>
      </c>
    </row>
    <row r="36" spans="1:9">
      <c r="A36" s="1">
        <v>44452</v>
      </c>
      <c r="B36">
        <v>143.25</v>
      </c>
      <c r="C36">
        <v>144.25</v>
      </c>
      <c r="D36">
        <v>142</v>
      </c>
      <c r="E36">
        <v>143.15</v>
      </c>
      <c r="F36">
        <v>17426790</v>
      </c>
      <c r="G36">
        <v>76</v>
      </c>
      <c r="H36" s="2">
        <f>(Query1[[#This Row],[Close]]-Query1[[#This Row],[IPO ISSUE PRICE]])/Query1[[#This Row],[IPO ISSUE PRICE]]</f>
        <v>0.88355263157894748</v>
      </c>
      <c r="I36" s="3">
        <f>(Query1[[#This Row],[Close]]-E35)/E35</f>
        <v>1.09463276836159E-2</v>
      </c>
    </row>
    <row r="37" spans="1:9">
      <c r="A37" s="1">
        <v>44453</v>
      </c>
      <c r="B37">
        <v>145.15</v>
      </c>
      <c r="C37">
        <v>152.75</v>
      </c>
      <c r="D37">
        <v>136.19999999999999</v>
      </c>
      <c r="E37">
        <v>144.1</v>
      </c>
      <c r="F37">
        <v>112358900</v>
      </c>
      <c r="G37">
        <v>76</v>
      </c>
      <c r="H37" s="2">
        <f>(Query1[[#This Row],[Close]]-Query1[[#This Row],[IPO ISSUE PRICE]])/Query1[[#This Row],[IPO ISSUE PRICE]]</f>
        <v>0.89605263157894732</v>
      </c>
      <c r="I37" s="3">
        <f>(Query1[[#This Row],[Close]]-E36)/E36</f>
        <v>6.6363953894515446E-3</v>
      </c>
    </row>
    <row r="38" spans="1:9">
      <c r="A38" s="1">
        <v>44454</v>
      </c>
      <c r="B38">
        <v>142.94999999999999</v>
      </c>
      <c r="C38">
        <v>145</v>
      </c>
      <c r="D38">
        <v>140.75</v>
      </c>
      <c r="E38">
        <v>142.65</v>
      </c>
      <c r="F38">
        <v>38892540</v>
      </c>
      <c r="G38">
        <v>76</v>
      </c>
      <c r="H38" s="2">
        <f>(Query1[[#This Row],[Close]]-Query1[[#This Row],[IPO ISSUE PRICE]])/Query1[[#This Row],[IPO ISSUE PRICE]]</f>
        <v>0.87697368421052635</v>
      </c>
      <c r="I38" s="3">
        <f>(Query1[[#This Row],[Close]]-E37)/E37</f>
        <v>-1.0062456627342046E-2</v>
      </c>
    </row>
    <row r="39" spans="1:9">
      <c r="A39" s="1">
        <v>44455</v>
      </c>
      <c r="B39">
        <v>143</v>
      </c>
      <c r="C39">
        <v>144</v>
      </c>
      <c r="D39">
        <v>141.5</v>
      </c>
      <c r="E39">
        <v>142.05000000000001</v>
      </c>
      <c r="F39">
        <v>17634200</v>
      </c>
      <c r="G39">
        <v>76</v>
      </c>
      <c r="H39" s="2">
        <f>(Query1[[#This Row],[Close]]-Query1[[#This Row],[IPO ISSUE PRICE]])/Query1[[#This Row],[IPO ISSUE PRICE]]</f>
        <v>0.86907894736842117</v>
      </c>
      <c r="I39" s="3">
        <f>(Query1[[#This Row],[Close]]-E38)/E38</f>
        <v>-4.2060988433227781E-3</v>
      </c>
    </row>
    <row r="40" spans="1:9">
      <c r="A40" s="1">
        <v>44456</v>
      </c>
      <c r="B40">
        <v>142.55000000000001</v>
      </c>
      <c r="C40">
        <v>146.9</v>
      </c>
      <c r="D40">
        <v>137.15</v>
      </c>
      <c r="E40">
        <v>137.9</v>
      </c>
      <c r="F40">
        <v>23264090</v>
      </c>
      <c r="G40">
        <v>76</v>
      </c>
      <c r="H40" s="2">
        <f>(Query1[[#This Row],[Close]]-Query1[[#This Row],[IPO ISSUE PRICE]])/Query1[[#This Row],[IPO ISSUE PRICE]]</f>
        <v>0.81447368421052635</v>
      </c>
      <c r="I40" s="3">
        <f>(Query1[[#This Row],[Close]]-E39)/E39</f>
        <v>-2.9215065117916265E-2</v>
      </c>
    </row>
    <row r="41" spans="1:9">
      <c r="A41" s="1">
        <v>44459</v>
      </c>
      <c r="B41">
        <v>137.69999999999999</v>
      </c>
      <c r="C41">
        <v>140.85</v>
      </c>
      <c r="D41">
        <v>133.25</v>
      </c>
      <c r="E41">
        <v>134.30000000000001</v>
      </c>
      <c r="F41">
        <v>19799940</v>
      </c>
      <c r="G41">
        <v>76</v>
      </c>
      <c r="H41" s="2">
        <f>(Query1[[#This Row],[Close]]-Query1[[#This Row],[IPO ISSUE PRICE]])/Query1[[#This Row],[IPO ISSUE PRICE]]</f>
        <v>0.76710526315789485</v>
      </c>
      <c r="I41" s="3">
        <f>(Query1[[#This Row],[Close]]-E40)/E40</f>
        <v>-2.610587382160982E-2</v>
      </c>
    </row>
    <row r="42" spans="1:9">
      <c r="A42" s="1">
        <v>44460</v>
      </c>
      <c r="B42">
        <v>137.19999999999999</v>
      </c>
      <c r="C42">
        <v>138</v>
      </c>
      <c r="D42">
        <v>131</v>
      </c>
      <c r="E42">
        <v>133.44999999999999</v>
      </c>
      <c r="F42">
        <v>19330190</v>
      </c>
      <c r="G42">
        <v>76</v>
      </c>
      <c r="H42" s="2">
        <f>(Query1[[#This Row],[Close]]-Query1[[#This Row],[IPO ISSUE PRICE]])/Query1[[#This Row],[IPO ISSUE PRICE]]</f>
        <v>0.75592105263157883</v>
      </c>
      <c r="I42" s="3">
        <f>(Query1[[#This Row],[Close]]-E41)/E41</f>
        <v>-6.3291139240508019E-3</v>
      </c>
    </row>
    <row r="43" spans="1:9">
      <c r="A43" s="1">
        <v>44461</v>
      </c>
      <c r="B43">
        <v>135.4</v>
      </c>
      <c r="C43">
        <v>135.4</v>
      </c>
      <c r="D43">
        <v>131.30000000000001</v>
      </c>
      <c r="E43">
        <v>132.1</v>
      </c>
      <c r="F43">
        <v>16923370</v>
      </c>
      <c r="G43">
        <v>76</v>
      </c>
      <c r="H43" s="2">
        <f>(Query1[[#This Row],[Close]]-Query1[[#This Row],[IPO ISSUE PRICE]])/Query1[[#This Row],[IPO ISSUE PRICE]]</f>
        <v>0.73815789473684201</v>
      </c>
      <c r="I43" s="3">
        <f>(Query1[[#This Row],[Close]]-E42)/E42</f>
        <v>-1.0116148370176055E-2</v>
      </c>
    </row>
    <row r="44" spans="1:9">
      <c r="A44" s="1">
        <v>44462</v>
      </c>
      <c r="B44">
        <v>134.5</v>
      </c>
      <c r="C44">
        <v>140.4</v>
      </c>
      <c r="D44">
        <v>133.05000000000001</v>
      </c>
      <c r="E44">
        <v>137.30000000000001</v>
      </c>
      <c r="F44">
        <v>31779160</v>
      </c>
      <c r="G44">
        <v>76</v>
      </c>
      <c r="H44" s="2">
        <f>(Query1[[#This Row],[Close]]-Query1[[#This Row],[IPO ISSUE PRICE]])/Query1[[#This Row],[IPO ISSUE PRICE]]</f>
        <v>0.80657894736842117</v>
      </c>
      <c r="I44" s="3">
        <f>(Query1[[#This Row],[Close]]-E43)/E43</f>
        <v>3.9364118092354405E-2</v>
      </c>
    </row>
    <row r="45" spans="1:9">
      <c r="A45" s="1">
        <v>44463</v>
      </c>
      <c r="B45">
        <v>137.55000000000001</v>
      </c>
      <c r="C45">
        <v>139.5</v>
      </c>
      <c r="D45">
        <v>136.05000000000001</v>
      </c>
      <c r="E45">
        <v>136.65</v>
      </c>
      <c r="F45">
        <v>13099390</v>
      </c>
      <c r="G45">
        <v>76</v>
      </c>
      <c r="H45" s="2">
        <f>(Query1[[#This Row],[Close]]-Query1[[#This Row],[IPO ISSUE PRICE]])/Query1[[#This Row],[IPO ISSUE PRICE]]</f>
        <v>0.79802631578947381</v>
      </c>
      <c r="I45" s="3">
        <f>(Query1[[#This Row],[Close]]-E44)/E44</f>
        <v>-4.7341587764020802E-3</v>
      </c>
    </row>
    <row r="46" spans="1:9">
      <c r="A46" s="1">
        <v>44466</v>
      </c>
      <c r="B46">
        <v>139.85</v>
      </c>
      <c r="C46">
        <v>144.75</v>
      </c>
      <c r="D46">
        <v>138</v>
      </c>
      <c r="E46">
        <v>143.69999999999999</v>
      </c>
      <c r="F46">
        <v>26041240</v>
      </c>
      <c r="G46">
        <v>76</v>
      </c>
      <c r="H46" s="2">
        <f>(Query1[[#This Row],[Close]]-Query1[[#This Row],[IPO ISSUE PRICE]])/Query1[[#This Row],[IPO ISSUE PRICE]]</f>
        <v>0.89078947368421035</v>
      </c>
      <c r="I46" s="3">
        <f>(Query1[[#This Row],[Close]]-E45)/E45</f>
        <v>5.1591657519209536E-2</v>
      </c>
    </row>
    <row r="47" spans="1:9">
      <c r="A47" s="1">
        <v>44467</v>
      </c>
      <c r="B47">
        <v>143.9</v>
      </c>
      <c r="C47">
        <v>143.9</v>
      </c>
      <c r="D47">
        <v>137.65</v>
      </c>
      <c r="E47">
        <v>139</v>
      </c>
      <c r="F47">
        <v>13489230</v>
      </c>
      <c r="G47">
        <v>76</v>
      </c>
      <c r="H47" s="2">
        <f>(Query1[[#This Row],[Close]]-Query1[[#This Row],[IPO ISSUE PRICE]])/Query1[[#This Row],[IPO ISSUE PRICE]]</f>
        <v>0.82894736842105265</v>
      </c>
      <c r="I47" s="3">
        <f>(Query1[[#This Row],[Close]]-E46)/E46</f>
        <v>-3.2707028531663108E-2</v>
      </c>
    </row>
    <row r="48" spans="1:9">
      <c r="A48" s="1">
        <v>44468</v>
      </c>
      <c r="B48">
        <v>138</v>
      </c>
      <c r="C48">
        <v>139.5</v>
      </c>
      <c r="D48">
        <v>136.5</v>
      </c>
      <c r="E48">
        <v>138.5</v>
      </c>
      <c r="F48">
        <v>10801430</v>
      </c>
      <c r="G48">
        <v>76</v>
      </c>
      <c r="H48" s="2">
        <f>(Query1[[#This Row],[Close]]-Query1[[#This Row],[IPO ISSUE PRICE]])/Query1[[#This Row],[IPO ISSUE PRICE]]</f>
        <v>0.82236842105263153</v>
      </c>
      <c r="I48" s="3">
        <f>(Query1[[#This Row],[Close]]-E47)/E47</f>
        <v>-3.5971223021582736E-3</v>
      </c>
    </row>
    <row r="49" spans="1:9">
      <c r="A49" s="1">
        <v>44469</v>
      </c>
      <c r="B49">
        <v>139.19999999999999</v>
      </c>
      <c r="C49">
        <v>139.19999999999999</v>
      </c>
      <c r="D49">
        <v>136.15</v>
      </c>
      <c r="E49">
        <v>136.6</v>
      </c>
      <c r="F49">
        <v>7825751</v>
      </c>
      <c r="G49">
        <v>76</v>
      </c>
      <c r="H49" s="2">
        <f>(Query1[[#This Row],[Close]]-Query1[[#This Row],[IPO ISSUE PRICE]])/Query1[[#This Row],[IPO ISSUE PRICE]]</f>
        <v>0.7973684210526315</v>
      </c>
      <c r="I49" s="3">
        <f>(Query1[[#This Row],[Close]]-E48)/E48</f>
        <v>-1.3718411552346611E-2</v>
      </c>
    </row>
    <row r="50" spans="1:9">
      <c r="A50" s="1">
        <v>44470</v>
      </c>
      <c r="B50">
        <v>137.30000000000001</v>
      </c>
      <c r="C50">
        <v>140.5</v>
      </c>
      <c r="D50">
        <v>137</v>
      </c>
      <c r="E50">
        <v>138</v>
      </c>
      <c r="F50">
        <v>11940570</v>
      </c>
      <c r="G50">
        <v>76</v>
      </c>
      <c r="H50" s="2">
        <f>(Query1[[#This Row],[Close]]-Query1[[#This Row],[IPO ISSUE PRICE]])/Query1[[#This Row],[IPO ISSUE PRICE]]</f>
        <v>0.81578947368421051</v>
      </c>
      <c r="I50" s="3">
        <f>(Query1[[#This Row],[Close]]-E49)/E49</f>
        <v>1.0248901903367538E-2</v>
      </c>
    </row>
    <row r="51" spans="1:9">
      <c r="A51" s="1">
        <v>44473</v>
      </c>
      <c r="B51">
        <v>139.1</v>
      </c>
      <c r="C51">
        <v>140</v>
      </c>
      <c r="D51">
        <v>138</v>
      </c>
      <c r="E51">
        <v>139.1</v>
      </c>
      <c r="F51">
        <v>11995290</v>
      </c>
      <c r="G51">
        <v>76</v>
      </c>
      <c r="H51" s="2">
        <f>(Query1[[#This Row],[Close]]-Query1[[#This Row],[IPO ISSUE PRICE]])/Query1[[#This Row],[IPO ISSUE PRICE]]</f>
        <v>0.83026315789473681</v>
      </c>
      <c r="I51" s="3">
        <f>(Query1[[#This Row],[Close]]-E50)/E50</f>
        <v>7.9710144927535812E-3</v>
      </c>
    </row>
    <row r="52" spans="1:9">
      <c r="A52" s="1">
        <v>44474</v>
      </c>
      <c r="B52">
        <v>138.75</v>
      </c>
      <c r="C52">
        <v>138.80000000000001</v>
      </c>
      <c r="D52">
        <v>137.15</v>
      </c>
      <c r="E52">
        <v>137.94999999999999</v>
      </c>
      <c r="F52">
        <v>10912140</v>
      </c>
      <c r="G52">
        <v>76</v>
      </c>
      <c r="H52" s="2">
        <f>(Query1[[#This Row],[Close]]-Query1[[#This Row],[IPO ISSUE PRICE]])/Query1[[#This Row],[IPO ISSUE PRICE]]</f>
        <v>0.81513157894736832</v>
      </c>
      <c r="I52" s="3">
        <f>(Query1[[#This Row],[Close]]-E51)/E51</f>
        <v>-8.2674335010784021E-3</v>
      </c>
    </row>
    <row r="53" spans="1:9">
      <c r="A53" s="1">
        <v>44475</v>
      </c>
      <c r="B53">
        <v>138.75</v>
      </c>
      <c r="C53">
        <v>139.19999999999999</v>
      </c>
      <c r="D53">
        <v>133.69999999999999</v>
      </c>
      <c r="E53">
        <v>134.94999999999999</v>
      </c>
      <c r="F53">
        <v>9988184</v>
      </c>
      <c r="G53">
        <v>76</v>
      </c>
      <c r="H53" s="2">
        <f>(Query1[[#This Row],[Close]]-Query1[[#This Row],[IPO ISSUE PRICE]])/Query1[[#This Row],[IPO ISSUE PRICE]]</f>
        <v>0.77565789473684199</v>
      </c>
      <c r="I53" s="3">
        <f>(Query1[[#This Row],[Close]]-E52)/E52</f>
        <v>-2.1747009786154407E-2</v>
      </c>
    </row>
    <row r="54" spans="1:9">
      <c r="A54" s="1">
        <v>44476</v>
      </c>
      <c r="B54">
        <v>136.75</v>
      </c>
      <c r="C54">
        <v>138.44999999999999</v>
      </c>
      <c r="D54">
        <v>136.05000000000001</v>
      </c>
      <c r="E54">
        <v>137.1</v>
      </c>
      <c r="F54">
        <v>7317664</v>
      </c>
      <c r="G54">
        <v>76</v>
      </c>
      <c r="H54" s="2">
        <f>(Query1[[#This Row],[Close]]-Query1[[#This Row],[IPO ISSUE PRICE]])/Query1[[#This Row],[IPO ISSUE PRICE]]</f>
        <v>0.80394736842105252</v>
      </c>
      <c r="I54" s="3">
        <f>(Query1[[#This Row],[Close]]-E53)/E53</f>
        <v>1.5931826602445395E-2</v>
      </c>
    </row>
    <row r="55" spans="1:9">
      <c r="A55" s="1">
        <v>44477</v>
      </c>
      <c r="B55">
        <v>138</v>
      </c>
      <c r="C55">
        <v>138</v>
      </c>
      <c r="D55">
        <v>135.69999999999999</v>
      </c>
      <c r="E55">
        <v>136.15</v>
      </c>
      <c r="F55">
        <v>6207969</v>
      </c>
      <c r="G55">
        <v>76</v>
      </c>
      <c r="H55" s="2">
        <f>(Query1[[#This Row],[Close]]-Query1[[#This Row],[IPO ISSUE PRICE]])/Query1[[#This Row],[IPO ISSUE PRICE]]</f>
        <v>0.79144736842105268</v>
      </c>
      <c r="I55" s="3">
        <f>(Query1[[#This Row],[Close]]-E54)/E54</f>
        <v>-6.9292487235593633E-3</v>
      </c>
    </row>
    <row r="56" spans="1:9">
      <c r="A56" s="1">
        <v>44480</v>
      </c>
      <c r="B56">
        <v>137.5</v>
      </c>
      <c r="C56">
        <v>137.5</v>
      </c>
      <c r="D56">
        <v>136.15</v>
      </c>
      <c r="E56">
        <v>136.85</v>
      </c>
      <c r="F56">
        <v>4395523</v>
      </c>
      <c r="G56">
        <v>76</v>
      </c>
      <c r="H56" s="2">
        <f>(Query1[[#This Row],[Close]]-Query1[[#This Row],[IPO ISSUE PRICE]])/Query1[[#This Row],[IPO ISSUE PRICE]]</f>
        <v>0.80065789473684201</v>
      </c>
      <c r="I56" s="3">
        <f>(Query1[[#This Row],[Close]]-E55)/E55</f>
        <v>5.1413881748071143E-3</v>
      </c>
    </row>
    <row r="57" spans="1:9">
      <c r="A57" s="1">
        <v>44481</v>
      </c>
      <c r="B57">
        <v>137.30000000000001</v>
      </c>
      <c r="C57">
        <v>137.75</v>
      </c>
      <c r="D57">
        <v>135.5</v>
      </c>
      <c r="E57">
        <v>136.6</v>
      </c>
      <c r="F57">
        <v>5600652</v>
      </c>
      <c r="G57">
        <v>76</v>
      </c>
      <c r="H57" s="2">
        <f>(Query1[[#This Row],[Close]]-Query1[[#This Row],[IPO ISSUE PRICE]])/Query1[[#This Row],[IPO ISSUE PRICE]]</f>
        <v>0.7973684210526315</v>
      </c>
      <c r="I57" s="3">
        <f>(Query1[[#This Row],[Close]]-E56)/E56</f>
        <v>-1.8268176835951773E-3</v>
      </c>
    </row>
    <row r="58" spans="1:9">
      <c r="A58" s="1">
        <v>44482</v>
      </c>
      <c r="B58">
        <v>137.25</v>
      </c>
      <c r="C58">
        <v>137.4</v>
      </c>
      <c r="D58">
        <v>134.35</v>
      </c>
      <c r="E58">
        <v>135.44999999999999</v>
      </c>
      <c r="F58">
        <v>6351349</v>
      </c>
      <c r="G58">
        <v>76</v>
      </c>
      <c r="H58" s="2">
        <f>(Query1[[#This Row],[Close]]-Query1[[#This Row],[IPO ISSUE PRICE]])/Query1[[#This Row],[IPO ISSUE PRICE]]</f>
        <v>0.78223684210526301</v>
      </c>
      <c r="I58" s="3">
        <f>(Query1[[#This Row],[Close]]-E57)/E57</f>
        <v>-8.418740849194771E-3</v>
      </c>
    </row>
    <row r="59" spans="1:9">
      <c r="A59" s="1">
        <v>44483</v>
      </c>
      <c r="B59">
        <v>135.9</v>
      </c>
      <c r="C59">
        <v>137.30000000000001</v>
      </c>
      <c r="D59">
        <v>133.69999999999999</v>
      </c>
      <c r="E59">
        <v>135</v>
      </c>
      <c r="F59">
        <v>8688177</v>
      </c>
      <c r="G59">
        <v>76</v>
      </c>
      <c r="H59" s="2">
        <f>(Query1[[#This Row],[Close]]-Query1[[#This Row],[IPO ISSUE PRICE]])/Query1[[#This Row],[IPO ISSUE PRICE]]</f>
        <v>0.77631578947368418</v>
      </c>
      <c r="I59" s="3">
        <f>(Query1[[#This Row],[Close]]-E58)/E58</f>
        <v>-3.322259136212541E-3</v>
      </c>
    </row>
    <row r="60" spans="1:9">
      <c r="A60" s="1">
        <v>44487</v>
      </c>
      <c r="B60">
        <v>136</v>
      </c>
      <c r="C60">
        <v>146.15</v>
      </c>
      <c r="D60">
        <v>135.9</v>
      </c>
      <c r="E60">
        <v>144.05000000000001</v>
      </c>
      <c r="F60">
        <v>31446800</v>
      </c>
      <c r="G60">
        <v>76</v>
      </c>
      <c r="H60" s="2">
        <f>(Query1[[#This Row],[Close]]-Query1[[#This Row],[IPO ISSUE PRICE]])/Query1[[#This Row],[IPO ISSUE PRICE]]</f>
        <v>0.89539473684210547</v>
      </c>
      <c r="I60" s="3">
        <f>(Query1[[#This Row],[Close]]-E59)/E59</f>
        <v>6.7037037037037117E-2</v>
      </c>
    </row>
    <row r="61" spans="1:9">
      <c r="A61" s="1">
        <v>44488</v>
      </c>
      <c r="B61">
        <v>144.9</v>
      </c>
      <c r="C61">
        <v>145.1</v>
      </c>
      <c r="D61">
        <v>137.25</v>
      </c>
      <c r="E61">
        <v>138.55000000000001</v>
      </c>
      <c r="F61">
        <v>14688300</v>
      </c>
      <c r="G61">
        <v>76</v>
      </c>
      <c r="H61" s="2">
        <f>(Query1[[#This Row],[Close]]-Query1[[#This Row],[IPO ISSUE PRICE]])/Query1[[#This Row],[IPO ISSUE PRICE]]</f>
        <v>0.82302631578947383</v>
      </c>
      <c r="I61" s="3">
        <f>(Query1[[#This Row],[Close]]-E60)/E60</f>
        <v>-3.8181187087816724E-2</v>
      </c>
    </row>
    <row r="62" spans="1:9">
      <c r="A62" s="1">
        <v>44489</v>
      </c>
      <c r="B62">
        <v>138.5</v>
      </c>
      <c r="C62">
        <v>140.4</v>
      </c>
      <c r="D62">
        <v>133.85</v>
      </c>
      <c r="E62">
        <v>137.9</v>
      </c>
      <c r="F62">
        <v>12607290</v>
      </c>
      <c r="G62">
        <v>76</v>
      </c>
      <c r="H62" s="2">
        <f>(Query1[[#This Row],[Close]]-Query1[[#This Row],[IPO ISSUE PRICE]])/Query1[[#This Row],[IPO ISSUE PRICE]]</f>
        <v>0.81447368421052635</v>
      </c>
      <c r="I62" s="3">
        <f>(Query1[[#This Row],[Close]]-E61)/E61</f>
        <v>-4.6914471309996795E-3</v>
      </c>
    </row>
    <row r="63" spans="1:9">
      <c r="A63" s="1">
        <v>44490</v>
      </c>
      <c r="B63">
        <v>139.75</v>
      </c>
      <c r="C63">
        <v>139.9</v>
      </c>
      <c r="D63">
        <v>135.80000000000001</v>
      </c>
      <c r="E63">
        <v>138.15</v>
      </c>
      <c r="F63">
        <v>5951873</v>
      </c>
      <c r="G63">
        <v>76</v>
      </c>
      <c r="H63" s="2">
        <f>(Query1[[#This Row],[Close]]-Query1[[#This Row],[IPO ISSUE PRICE]])/Query1[[#This Row],[IPO ISSUE PRICE]]</f>
        <v>0.81776315789473697</v>
      </c>
      <c r="I63" s="3">
        <f>(Query1[[#This Row],[Close]]-E62)/E62</f>
        <v>1.8129079042784625E-3</v>
      </c>
    </row>
    <row r="64" spans="1:9">
      <c r="A64" s="1">
        <v>44491</v>
      </c>
      <c r="B64">
        <v>138.94999999999999</v>
      </c>
      <c r="C64">
        <v>142</v>
      </c>
      <c r="D64">
        <v>135.80000000000001</v>
      </c>
      <c r="E64">
        <v>137.75</v>
      </c>
      <c r="F64">
        <v>11468450</v>
      </c>
      <c r="G64">
        <v>76</v>
      </c>
      <c r="H64" s="2">
        <f>(Query1[[#This Row],[Close]]-Query1[[#This Row],[IPO ISSUE PRICE]])/Query1[[#This Row],[IPO ISSUE PRICE]]</f>
        <v>0.8125</v>
      </c>
      <c r="I64" s="3">
        <f>(Query1[[#This Row],[Close]]-E63)/E63</f>
        <v>-2.8954035468693861E-3</v>
      </c>
    </row>
    <row r="65" spans="1:9">
      <c r="A65" s="1">
        <v>44494</v>
      </c>
      <c r="B65">
        <v>138</v>
      </c>
      <c r="C65">
        <v>138.94999999999999</v>
      </c>
      <c r="D65">
        <v>131.55000000000001</v>
      </c>
      <c r="E65">
        <v>132.69999999999999</v>
      </c>
      <c r="F65">
        <v>13530510</v>
      </c>
      <c r="G65">
        <v>76</v>
      </c>
      <c r="H65" s="2">
        <f>(Query1[[#This Row],[Close]]-Query1[[#This Row],[IPO ISSUE PRICE]])/Query1[[#This Row],[IPO ISSUE PRICE]]</f>
        <v>0.74605263157894719</v>
      </c>
      <c r="I65" s="3">
        <f>(Query1[[#This Row],[Close]]-E64)/E64</f>
        <v>-3.6660617059891189E-2</v>
      </c>
    </row>
    <row r="66" spans="1:9">
      <c r="A66" s="1">
        <v>44495</v>
      </c>
      <c r="B66">
        <v>133</v>
      </c>
      <c r="C66">
        <v>137.35</v>
      </c>
      <c r="D66">
        <v>133</v>
      </c>
      <c r="E66">
        <v>135.44999999999999</v>
      </c>
      <c r="F66">
        <v>6445894</v>
      </c>
      <c r="G66">
        <v>76</v>
      </c>
      <c r="H66" s="2">
        <f>(Query1[[#This Row],[Close]]-Query1[[#This Row],[IPO ISSUE PRICE]])/Query1[[#This Row],[IPO ISSUE PRICE]]</f>
        <v>0.78223684210526301</v>
      </c>
      <c r="I66" s="3">
        <f>(Query1[[#This Row],[Close]]-E65)/E65</f>
        <v>2.072343632253203E-2</v>
      </c>
    </row>
    <row r="67" spans="1:9">
      <c r="A67" s="1">
        <v>44496</v>
      </c>
      <c r="B67">
        <v>136.19999999999999</v>
      </c>
      <c r="C67">
        <v>139.25</v>
      </c>
      <c r="D67">
        <v>134.5</v>
      </c>
      <c r="E67">
        <v>134.80000000000001</v>
      </c>
      <c r="F67">
        <v>8982174</v>
      </c>
      <c r="G67">
        <v>76</v>
      </c>
      <c r="H67" s="2">
        <f>(Query1[[#This Row],[Close]]-Query1[[#This Row],[IPO ISSUE PRICE]])/Query1[[#This Row],[IPO ISSUE PRICE]]</f>
        <v>0.77368421052631597</v>
      </c>
      <c r="I67" s="3">
        <f>(Query1[[#This Row],[Close]]-E66)/E66</f>
        <v>-4.798818752306957E-3</v>
      </c>
    </row>
    <row r="68" spans="1:9">
      <c r="A68" s="1">
        <v>44497</v>
      </c>
      <c r="B68">
        <v>135.35</v>
      </c>
      <c r="C68">
        <v>136.5</v>
      </c>
      <c r="D68">
        <v>131.5</v>
      </c>
      <c r="E68">
        <v>135.6</v>
      </c>
      <c r="F68">
        <v>11936370</v>
      </c>
      <c r="G68">
        <v>76</v>
      </c>
      <c r="H68" s="2">
        <f>(Query1[[#This Row],[Close]]-Query1[[#This Row],[IPO ISSUE PRICE]])/Query1[[#This Row],[IPO ISSUE PRICE]]</f>
        <v>0.78421052631578936</v>
      </c>
      <c r="I68" s="3">
        <f>(Query1[[#This Row],[Close]]-E67)/E67</f>
        <v>5.9347181008900804E-3</v>
      </c>
    </row>
    <row r="69" spans="1:9">
      <c r="A69" s="1">
        <v>44498</v>
      </c>
      <c r="B69">
        <v>135</v>
      </c>
      <c r="C69">
        <v>135</v>
      </c>
      <c r="D69">
        <v>130.5</v>
      </c>
      <c r="E69">
        <v>131.55000000000001</v>
      </c>
      <c r="F69">
        <v>12925870</v>
      </c>
      <c r="G69">
        <v>76</v>
      </c>
      <c r="H69" s="2">
        <f>(Query1[[#This Row],[Close]]-Query1[[#This Row],[IPO ISSUE PRICE]])/Query1[[#This Row],[IPO ISSUE PRICE]]</f>
        <v>0.73092105263157914</v>
      </c>
      <c r="I69" s="3">
        <f>(Query1[[#This Row],[Close]]-E68)/E68</f>
        <v>-2.9867256637168018E-2</v>
      </c>
    </row>
    <row r="70" spans="1:9">
      <c r="A70" s="1">
        <v>44501</v>
      </c>
      <c r="B70">
        <v>133.6</v>
      </c>
      <c r="C70">
        <v>134.30000000000001</v>
      </c>
      <c r="D70">
        <v>132</v>
      </c>
      <c r="E70">
        <v>132.65</v>
      </c>
      <c r="F70">
        <v>6200243</v>
      </c>
      <c r="G70">
        <v>76</v>
      </c>
      <c r="H70" s="2">
        <f>(Query1[[#This Row],[Close]]-Query1[[#This Row],[IPO ISSUE PRICE]])/Query1[[#This Row],[IPO ISSUE PRICE]]</f>
        <v>0.74539473684210533</v>
      </c>
      <c r="I70" s="3">
        <f>(Query1[[#This Row],[Close]]-E69)/E69</f>
        <v>8.3618396047129926E-3</v>
      </c>
    </row>
    <row r="71" spans="1:9">
      <c r="A71" s="1">
        <v>44502</v>
      </c>
      <c r="B71">
        <v>132.69999999999999</v>
      </c>
      <c r="C71">
        <v>133.6</v>
      </c>
      <c r="D71">
        <v>131.75</v>
      </c>
      <c r="E71">
        <v>132.44999999999999</v>
      </c>
      <c r="F71">
        <v>7367792</v>
      </c>
      <c r="G71">
        <v>76</v>
      </c>
      <c r="H71" s="2">
        <f>(Query1[[#This Row],[Close]]-Query1[[#This Row],[IPO ISSUE PRICE]])/Query1[[#This Row],[IPO ISSUE PRICE]]</f>
        <v>0.74276315789473668</v>
      </c>
      <c r="I71" s="3">
        <f>(Query1[[#This Row],[Close]]-E70)/E70</f>
        <v>-1.507727101394776E-3</v>
      </c>
    </row>
    <row r="72" spans="1:9">
      <c r="A72" s="1">
        <v>44503</v>
      </c>
      <c r="B72">
        <v>132.9</v>
      </c>
      <c r="C72">
        <v>132.9</v>
      </c>
      <c r="D72">
        <v>127.5</v>
      </c>
      <c r="E72">
        <v>128.35</v>
      </c>
      <c r="F72">
        <v>15919920</v>
      </c>
      <c r="G72">
        <v>76</v>
      </c>
      <c r="H72" s="2">
        <f>(Query1[[#This Row],[Close]]-Query1[[#This Row],[IPO ISSUE PRICE]])/Query1[[#This Row],[IPO ISSUE PRICE]]</f>
        <v>0.68881578947368416</v>
      </c>
      <c r="I72" s="3">
        <f>(Query1[[#This Row],[Close]]-E71)/E71</f>
        <v>-3.095507738769343E-2</v>
      </c>
    </row>
    <row r="73" spans="1:9">
      <c r="A73" s="1">
        <v>44504</v>
      </c>
      <c r="B73">
        <v>130</v>
      </c>
      <c r="C73">
        <v>132.4</v>
      </c>
      <c r="D73">
        <v>130</v>
      </c>
      <c r="E73">
        <v>131.35</v>
      </c>
      <c r="F73">
        <v>4101820</v>
      </c>
      <c r="G73">
        <v>76</v>
      </c>
      <c r="H73" s="2">
        <f>(Query1[[#This Row],[Close]]-Query1[[#This Row],[IPO ISSUE PRICE]])/Query1[[#This Row],[IPO ISSUE PRICE]]</f>
        <v>0.72828947368421049</v>
      </c>
      <c r="I73" s="3">
        <f>(Query1[[#This Row],[Close]]-E72)/E72</f>
        <v>2.3373587845734321E-2</v>
      </c>
    </row>
    <row r="74" spans="1:9">
      <c r="A74" s="1">
        <v>44508</v>
      </c>
      <c r="B74">
        <v>132.94999999999999</v>
      </c>
      <c r="C74">
        <v>133.6</v>
      </c>
      <c r="D74">
        <v>130.6</v>
      </c>
      <c r="E74">
        <v>131.15</v>
      </c>
      <c r="F74">
        <v>17645790</v>
      </c>
      <c r="G74">
        <v>76</v>
      </c>
      <c r="H74" s="2">
        <f>(Query1[[#This Row],[Close]]-Query1[[#This Row],[IPO ISSUE PRICE]])/Query1[[#This Row],[IPO ISSUE PRICE]]</f>
        <v>0.72565789473684217</v>
      </c>
      <c r="I74" s="3">
        <f>(Query1[[#This Row],[Close]]-E73)/E73</f>
        <v>-1.5226494099732672E-3</v>
      </c>
    </row>
    <row r="75" spans="1:9">
      <c r="A75" s="1">
        <v>44509</v>
      </c>
      <c r="B75">
        <v>133</v>
      </c>
      <c r="C75">
        <v>138.9</v>
      </c>
      <c r="D75">
        <v>131.65</v>
      </c>
      <c r="E75">
        <v>137.65</v>
      </c>
      <c r="F75">
        <v>26457360</v>
      </c>
      <c r="G75">
        <v>76</v>
      </c>
      <c r="H75" s="2">
        <f>(Query1[[#This Row],[Close]]-Query1[[#This Row],[IPO ISSUE PRICE]])/Query1[[#This Row],[IPO ISSUE PRICE]]</f>
        <v>0.81118421052631584</v>
      </c>
      <c r="I75" s="3">
        <f>(Query1[[#This Row],[Close]]-E74)/E74</f>
        <v>4.9561570720548988E-2</v>
      </c>
    </row>
    <row r="76" spans="1:9">
      <c r="A76" s="1">
        <v>44510</v>
      </c>
      <c r="B76">
        <v>136.5</v>
      </c>
      <c r="C76">
        <v>139.15</v>
      </c>
      <c r="D76">
        <v>135</v>
      </c>
      <c r="E76">
        <v>136.05000000000001</v>
      </c>
      <c r="F76">
        <v>16816040</v>
      </c>
      <c r="G76">
        <v>76</v>
      </c>
      <c r="H76" s="2">
        <f>(Query1[[#This Row],[Close]]-Query1[[#This Row],[IPO ISSUE PRICE]])/Query1[[#This Row],[IPO ISSUE PRICE]]</f>
        <v>0.79013157894736852</v>
      </c>
      <c r="I76" s="3">
        <f>(Query1[[#This Row],[Close]]-E75)/E75</f>
        <v>-1.162368325463127E-2</v>
      </c>
    </row>
    <row r="77" spans="1:9">
      <c r="A77" s="1">
        <v>44511</v>
      </c>
      <c r="B77">
        <v>142</v>
      </c>
      <c r="C77">
        <v>144</v>
      </c>
      <c r="D77">
        <v>132.6</v>
      </c>
      <c r="E77">
        <v>140.9</v>
      </c>
      <c r="F77">
        <v>83582030</v>
      </c>
      <c r="G77">
        <v>76</v>
      </c>
      <c r="H77" s="2">
        <f>(Query1[[#This Row],[Close]]-Query1[[#This Row],[IPO ISSUE PRICE]])/Query1[[#This Row],[IPO ISSUE PRICE]]</f>
        <v>0.85394736842105268</v>
      </c>
      <c r="I77" s="3">
        <f>(Query1[[#This Row],[Close]]-E76)/E76</f>
        <v>3.5648658581403848E-2</v>
      </c>
    </row>
    <row r="78" spans="1:9">
      <c r="A78" s="1">
        <v>44512</v>
      </c>
      <c r="B78">
        <v>142</v>
      </c>
      <c r="C78">
        <v>155.19999999999999</v>
      </c>
      <c r="D78">
        <v>142</v>
      </c>
      <c r="E78">
        <v>153</v>
      </c>
      <c r="F78">
        <v>140547700</v>
      </c>
      <c r="G78">
        <v>76</v>
      </c>
      <c r="H78" s="2">
        <f>(Query1[[#This Row],[Close]]-Query1[[#This Row],[IPO ISSUE PRICE]])/Query1[[#This Row],[IPO ISSUE PRICE]]</f>
        <v>1.013157894736842</v>
      </c>
      <c r="I78" s="3">
        <f>(Query1[[#This Row],[Close]]-E77)/E77</f>
        <v>8.5876508161816842E-2</v>
      </c>
    </row>
    <row r="79" spans="1:9">
      <c r="A79" s="1">
        <v>44515</v>
      </c>
      <c r="B79">
        <v>149</v>
      </c>
      <c r="C79">
        <v>163.30000000000001</v>
      </c>
      <c r="D79">
        <v>142.35</v>
      </c>
      <c r="E79">
        <v>160.30000000000001</v>
      </c>
      <c r="F79">
        <v>121197500</v>
      </c>
      <c r="G79">
        <v>76</v>
      </c>
      <c r="H79" s="2">
        <f>(Query1[[#This Row],[Close]]-Query1[[#This Row],[IPO ISSUE PRICE]])/Query1[[#This Row],[IPO ISSUE PRICE]]</f>
        <v>1.1092105263157896</v>
      </c>
      <c r="I79" s="3">
        <f>(Query1[[#This Row],[Close]]-E78)/E78</f>
        <v>4.7712418300653668E-2</v>
      </c>
    </row>
    <row r="80" spans="1:9">
      <c r="A80" s="1">
        <v>44516</v>
      </c>
      <c r="B80">
        <v>161.15</v>
      </c>
      <c r="C80">
        <v>169</v>
      </c>
      <c r="D80">
        <v>153.80000000000001</v>
      </c>
      <c r="E80">
        <v>157.6</v>
      </c>
      <c r="F80">
        <v>109342700</v>
      </c>
      <c r="G80">
        <v>76</v>
      </c>
      <c r="H80" s="2">
        <f>(Query1[[#This Row],[Close]]-Query1[[#This Row],[IPO ISSUE PRICE]])/Query1[[#This Row],[IPO ISSUE PRICE]]</f>
        <v>1.0736842105263158</v>
      </c>
      <c r="I80" s="3">
        <f>(Query1[[#This Row],[Close]]-E79)/E79</f>
        <v>-1.6843418590143586E-2</v>
      </c>
    </row>
    <row r="81" spans="1:9">
      <c r="A81" s="1">
        <v>44517</v>
      </c>
      <c r="B81">
        <v>155.94999999999999</v>
      </c>
      <c r="C81">
        <v>162.25</v>
      </c>
      <c r="D81">
        <v>154.25</v>
      </c>
      <c r="E81">
        <v>156.55000000000001</v>
      </c>
      <c r="F81">
        <v>44505150</v>
      </c>
      <c r="G81">
        <v>76</v>
      </c>
      <c r="H81" s="2">
        <f>(Query1[[#This Row],[Close]]-Query1[[#This Row],[IPO ISSUE PRICE]])/Query1[[#This Row],[IPO ISSUE PRICE]]</f>
        <v>1.0598684210526317</v>
      </c>
      <c r="I81" s="3">
        <f>(Query1[[#This Row],[Close]]-E80)/E80</f>
        <v>-6.6624365482232427E-3</v>
      </c>
    </row>
    <row r="82" spans="1:9">
      <c r="A82" s="1">
        <v>44518</v>
      </c>
      <c r="B82">
        <v>158.9</v>
      </c>
      <c r="C82">
        <v>161.85</v>
      </c>
      <c r="D82">
        <v>152.5</v>
      </c>
      <c r="E82">
        <v>154.69999999999999</v>
      </c>
      <c r="F82">
        <v>46802080</v>
      </c>
      <c r="G82">
        <v>76</v>
      </c>
      <c r="H82" s="2">
        <f>(Query1[[#This Row],[Close]]-Query1[[#This Row],[IPO ISSUE PRICE]])/Query1[[#This Row],[IPO ISSUE PRICE]]</f>
        <v>1.0355263157894736</v>
      </c>
      <c r="I82" s="3">
        <f>(Query1[[#This Row],[Close]]-E81)/E81</f>
        <v>-1.1817310763334542E-2</v>
      </c>
    </row>
    <row r="83" spans="1:9">
      <c r="A83" s="1">
        <v>44522</v>
      </c>
      <c r="B83">
        <v>158.25</v>
      </c>
      <c r="C83">
        <v>158.25</v>
      </c>
      <c r="D83">
        <v>136.80000000000001</v>
      </c>
      <c r="E83">
        <v>149.75</v>
      </c>
      <c r="F83">
        <v>79417840</v>
      </c>
      <c r="G83">
        <v>76</v>
      </c>
      <c r="H83" s="2">
        <f>(Query1[[#This Row],[Close]]-Query1[[#This Row],[IPO ISSUE PRICE]])/Query1[[#This Row],[IPO ISSUE PRICE]]</f>
        <v>0.97039473684210531</v>
      </c>
      <c r="I83" s="3">
        <f>(Query1[[#This Row],[Close]]-E82)/E82</f>
        <v>-3.1997414350355455E-2</v>
      </c>
    </row>
    <row r="84" spans="1:9">
      <c r="A84" s="1">
        <v>44523</v>
      </c>
      <c r="B84">
        <v>150</v>
      </c>
      <c r="C84">
        <v>152</v>
      </c>
      <c r="D84">
        <v>144.25</v>
      </c>
      <c r="E84">
        <v>148.69999999999999</v>
      </c>
      <c r="F84">
        <v>38236580</v>
      </c>
      <c r="G84">
        <v>76</v>
      </c>
      <c r="H84" s="2">
        <f>(Query1[[#This Row],[Close]]-Query1[[#This Row],[IPO ISSUE PRICE]])/Query1[[#This Row],[IPO ISSUE PRICE]]</f>
        <v>0.95657894736842086</v>
      </c>
      <c r="I84" s="3">
        <f>(Query1[[#This Row],[Close]]-E83)/E83</f>
        <v>-7.0116861435726967E-3</v>
      </c>
    </row>
    <row r="85" spans="1:9">
      <c r="A85" s="1">
        <v>44524</v>
      </c>
      <c r="B85">
        <v>151.1</v>
      </c>
      <c r="C85">
        <v>156.4</v>
      </c>
      <c r="D85">
        <v>149.6</v>
      </c>
      <c r="E85">
        <v>155.5</v>
      </c>
      <c r="F85">
        <v>53749970</v>
      </c>
      <c r="G85">
        <v>76</v>
      </c>
      <c r="H85" s="2">
        <f>(Query1[[#This Row],[Close]]-Query1[[#This Row],[IPO ISSUE PRICE]])/Query1[[#This Row],[IPO ISSUE PRICE]]</f>
        <v>1.0460526315789473</v>
      </c>
      <c r="I85" s="3">
        <f>(Query1[[#This Row],[Close]]-E84)/E84</f>
        <v>4.5729657027572375E-2</v>
      </c>
    </row>
    <row r="86" spans="1:9">
      <c r="A86" s="1">
        <v>44525</v>
      </c>
      <c r="B86">
        <v>157</v>
      </c>
      <c r="C86">
        <v>161.30000000000001</v>
      </c>
      <c r="D86">
        <v>154.05000000000001</v>
      </c>
      <c r="E86">
        <v>159.75</v>
      </c>
      <c r="F86">
        <v>48900470</v>
      </c>
      <c r="G86">
        <v>76</v>
      </c>
      <c r="H86" s="2">
        <f>(Query1[[#This Row],[Close]]-Query1[[#This Row],[IPO ISSUE PRICE]])/Query1[[#This Row],[IPO ISSUE PRICE]]</f>
        <v>1.1019736842105263</v>
      </c>
      <c r="I86" s="3">
        <f>(Query1[[#This Row],[Close]]-E85)/E85</f>
        <v>2.7331189710610933E-2</v>
      </c>
    </row>
    <row r="87" spans="1:9">
      <c r="A87" s="1">
        <v>44526</v>
      </c>
      <c r="B87">
        <v>158.44999999999999</v>
      </c>
      <c r="C87">
        <v>158.44999999999999</v>
      </c>
      <c r="D87">
        <v>146.25</v>
      </c>
      <c r="E87">
        <v>148.15</v>
      </c>
      <c r="F87">
        <v>35968150</v>
      </c>
      <c r="G87">
        <v>76</v>
      </c>
      <c r="H87" s="2">
        <f>(Query1[[#This Row],[Close]]-Query1[[#This Row],[IPO ISSUE PRICE]])/Query1[[#This Row],[IPO ISSUE PRICE]]</f>
        <v>0.94934210526315799</v>
      </c>
      <c r="I87" s="3">
        <f>(Query1[[#This Row],[Close]]-E86)/E86</f>
        <v>-7.2613458528951458E-2</v>
      </c>
    </row>
    <row r="88" spans="1:9">
      <c r="A88" s="1">
        <v>44529</v>
      </c>
      <c r="B88">
        <v>148.80000000000001</v>
      </c>
      <c r="C88">
        <v>153.9</v>
      </c>
      <c r="D88">
        <v>137.5</v>
      </c>
      <c r="E88">
        <v>149.1</v>
      </c>
      <c r="F88">
        <v>43972440</v>
      </c>
      <c r="G88">
        <v>76</v>
      </c>
      <c r="H88" s="2">
        <f>(Query1[[#This Row],[Close]]-Query1[[#This Row],[IPO ISSUE PRICE]])/Query1[[#This Row],[IPO ISSUE PRICE]]</f>
        <v>0.96184210526315783</v>
      </c>
      <c r="I88" s="3">
        <f>(Query1[[#This Row],[Close]]-E87)/E87</f>
        <v>6.4124198447518639E-3</v>
      </c>
    </row>
    <row r="89" spans="1:9">
      <c r="A89" s="1">
        <v>44530</v>
      </c>
      <c r="B89">
        <v>149.94999999999999</v>
      </c>
      <c r="C89">
        <v>158</v>
      </c>
      <c r="D89">
        <v>145.30000000000001</v>
      </c>
      <c r="E89">
        <v>152.55000000000001</v>
      </c>
      <c r="F89">
        <v>258130100</v>
      </c>
      <c r="G89">
        <v>76</v>
      </c>
      <c r="H89" s="2">
        <f>(Query1[[#This Row],[Close]]-Query1[[#This Row],[IPO ISSUE PRICE]])/Query1[[#This Row],[IPO ISSUE PRICE]]</f>
        <v>1.0072368421052633</v>
      </c>
      <c r="I89" s="3">
        <f>(Query1[[#This Row],[Close]]-E88)/E88</f>
        <v>2.3138832997988044E-2</v>
      </c>
    </row>
    <row r="90" spans="1:9">
      <c r="A90" s="1">
        <v>44531</v>
      </c>
      <c r="B90">
        <v>153</v>
      </c>
      <c r="C90">
        <v>157.9</v>
      </c>
      <c r="D90">
        <v>149.44999999999999</v>
      </c>
      <c r="E90">
        <v>151.4</v>
      </c>
      <c r="F90">
        <v>32604850</v>
      </c>
      <c r="G90">
        <v>76</v>
      </c>
      <c r="H90" s="2">
        <f>(Query1[[#This Row],[Close]]-Query1[[#This Row],[IPO ISSUE PRICE]])/Query1[[#This Row],[IPO ISSUE PRICE]]</f>
        <v>0.99210526315789482</v>
      </c>
      <c r="I90" s="3">
        <f>(Query1[[#This Row],[Close]]-E89)/E89</f>
        <v>-7.5385119632907609E-3</v>
      </c>
    </row>
    <row r="91" spans="1:9">
      <c r="A91" s="1">
        <v>44532</v>
      </c>
      <c r="B91">
        <v>151.6</v>
      </c>
      <c r="C91">
        <v>153.80000000000001</v>
      </c>
      <c r="D91">
        <v>147.80000000000001</v>
      </c>
      <c r="E91">
        <v>150.65</v>
      </c>
      <c r="F91">
        <v>23508260</v>
      </c>
      <c r="G91">
        <v>76</v>
      </c>
      <c r="H91" s="2">
        <f>(Query1[[#This Row],[Close]]-Query1[[#This Row],[IPO ISSUE PRICE]])/Query1[[#This Row],[IPO ISSUE PRICE]]</f>
        <v>0.98223684210526319</v>
      </c>
      <c r="I91" s="3">
        <f>(Query1[[#This Row],[Close]]-E90)/E90</f>
        <v>-4.9537648612945837E-3</v>
      </c>
    </row>
    <row r="92" spans="1:9">
      <c r="A92" s="1">
        <v>44533</v>
      </c>
      <c r="B92">
        <v>152.1</v>
      </c>
      <c r="C92">
        <v>152.80000000000001</v>
      </c>
      <c r="D92">
        <v>143.85</v>
      </c>
      <c r="E92">
        <v>144.9</v>
      </c>
      <c r="F92">
        <v>26452890</v>
      </c>
      <c r="G92">
        <v>76</v>
      </c>
      <c r="H92" s="2">
        <f>(Query1[[#This Row],[Close]]-Query1[[#This Row],[IPO ISSUE PRICE]])/Query1[[#This Row],[IPO ISSUE PRICE]]</f>
        <v>0.90657894736842115</v>
      </c>
      <c r="I92" s="3">
        <f>(Query1[[#This Row],[Close]]-E91)/E91</f>
        <v>-3.8167938931297711E-2</v>
      </c>
    </row>
    <row r="93" spans="1:9">
      <c r="A93" s="1">
        <v>44536</v>
      </c>
      <c r="B93">
        <v>146.6</v>
      </c>
      <c r="C93">
        <v>146.85</v>
      </c>
      <c r="D93">
        <v>135.30000000000001</v>
      </c>
      <c r="E93">
        <v>138.55000000000001</v>
      </c>
      <c r="F93">
        <v>33244500</v>
      </c>
      <c r="G93">
        <v>76</v>
      </c>
      <c r="H93" s="2">
        <f>(Query1[[#This Row],[Close]]-Query1[[#This Row],[IPO ISSUE PRICE]])/Query1[[#This Row],[IPO ISSUE PRICE]]</f>
        <v>0.82302631578947383</v>
      </c>
      <c r="I93" s="3">
        <f>(Query1[[#This Row],[Close]]-E92)/E92</f>
        <v>-4.3823326432022046E-2</v>
      </c>
    </row>
    <row r="94" spans="1:9">
      <c r="A94" s="1">
        <v>44537</v>
      </c>
      <c r="B94">
        <v>141.35</v>
      </c>
      <c r="C94">
        <v>143.80000000000001</v>
      </c>
      <c r="D94">
        <v>138.65</v>
      </c>
      <c r="E94">
        <v>139.80000000000001</v>
      </c>
      <c r="F94">
        <v>36835410</v>
      </c>
      <c r="G94">
        <v>76</v>
      </c>
      <c r="H94" s="2">
        <f>(Query1[[#This Row],[Close]]-Query1[[#This Row],[IPO ISSUE PRICE]])/Query1[[#This Row],[IPO ISSUE PRICE]]</f>
        <v>0.83947368421052648</v>
      </c>
      <c r="I94" s="3">
        <f>(Query1[[#This Row],[Close]]-E93)/E93</f>
        <v>9.0220137134608431E-3</v>
      </c>
    </row>
    <row r="95" spans="1:9">
      <c r="A95" s="1">
        <v>44538</v>
      </c>
      <c r="B95">
        <v>141</v>
      </c>
      <c r="C95">
        <v>148.6</v>
      </c>
      <c r="D95">
        <v>140.25</v>
      </c>
      <c r="E95">
        <v>147.6</v>
      </c>
      <c r="F95">
        <v>37324360</v>
      </c>
      <c r="G95">
        <v>76</v>
      </c>
      <c r="H95" s="2">
        <f>(Query1[[#This Row],[Close]]-Query1[[#This Row],[IPO ISSUE PRICE]])/Query1[[#This Row],[IPO ISSUE PRICE]]</f>
        <v>0.94210526315789467</v>
      </c>
      <c r="I95" s="3">
        <f>(Query1[[#This Row],[Close]]-E94)/E94</f>
        <v>5.5793991416308884E-2</v>
      </c>
    </row>
    <row r="96" spans="1:9">
      <c r="A96" s="1">
        <v>44539</v>
      </c>
      <c r="B96">
        <v>148.65</v>
      </c>
      <c r="C96">
        <v>148.65</v>
      </c>
      <c r="D96">
        <v>145.30000000000001</v>
      </c>
      <c r="E96">
        <v>146.25</v>
      </c>
      <c r="F96">
        <v>18377890</v>
      </c>
      <c r="G96">
        <v>76</v>
      </c>
      <c r="H96" s="2">
        <f>(Query1[[#This Row],[Close]]-Query1[[#This Row],[IPO ISSUE PRICE]])/Query1[[#This Row],[IPO ISSUE PRICE]]</f>
        <v>0.92434210526315785</v>
      </c>
      <c r="I96" s="3">
        <f>(Query1[[#This Row],[Close]]-E95)/E95</f>
        <v>-9.1463414634145954E-3</v>
      </c>
    </row>
    <row r="97" spans="1:9">
      <c r="A97" s="1">
        <v>44540</v>
      </c>
      <c r="B97">
        <v>144.1</v>
      </c>
      <c r="C97">
        <v>146.4</v>
      </c>
      <c r="D97">
        <v>139.75</v>
      </c>
      <c r="E97">
        <v>140.55000000000001</v>
      </c>
      <c r="F97">
        <v>27881030</v>
      </c>
      <c r="G97">
        <v>76</v>
      </c>
      <c r="H97" s="2">
        <f>(Query1[[#This Row],[Close]]-Query1[[#This Row],[IPO ISSUE PRICE]])/Query1[[#This Row],[IPO ISSUE PRICE]]</f>
        <v>0.84934210526315801</v>
      </c>
      <c r="I97" s="3">
        <f>(Query1[[#This Row],[Close]]-E96)/E96</f>
        <v>-3.89743589743589E-2</v>
      </c>
    </row>
    <row r="98" spans="1:9">
      <c r="A98" s="1">
        <v>44543</v>
      </c>
      <c r="B98">
        <v>142.19999999999999</v>
      </c>
      <c r="C98">
        <v>144.44999999999999</v>
      </c>
      <c r="D98">
        <v>141.9</v>
      </c>
      <c r="E98">
        <v>142.65</v>
      </c>
      <c r="F98">
        <v>20318220</v>
      </c>
      <c r="G98">
        <v>76</v>
      </c>
      <c r="H98" s="2">
        <f>(Query1[[#This Row],[Close]]-Query1[[#This Row],[IPO ISSUE PRICE]])/Query1[[#This Row],[IPO ISSUE PRICE]]</f>
        <v>0.87697368421052635</v>
      </c>
      <c r="I98" s="3">
        <f>(Query1[[#This Row],[Close]]-E97)/E97</f>
        <v>1.494130202774809E-2</v>
      </c>
    </row>
    <row r="99" spans="1:9">
      <c r="A99" s="1">
        <v>44544</v>
      </c>
      <c r="B99">
        <v>144.69999999999999</v>
      </c>
      <c r="C99">
        <v>144.94999999999999</v>
      </c>
      <c r="D99">
        <v>140</v>
      </c>
      <c r="E99">
        <v>140.65</v>
      </c>
      <c r="F99">
        <v>19474410</v>
      </c>
      <c r="G99">
        <v>76</v>
      </c>
      <c r="H99" s="2">
        <f>(Query1[[#This Row],[Close]]-Query1[[#This Row],[IPO ISSUE PRICE]])/Query1[[#This Row],[IPO ISSUE PRICE]]</f>
        <v>0.85065789473684217</v>
      </c>
      <c r="I99" s="3">
        <f>(Query1[[#This Row],[Close]]-E98)/E98</f>
        <v>-1.4020329477742727E-2</v>
      </c>
    </row>
    <row r="100" spans="1:9">
      <c r="A100" s="1">
        <v>44545</v>
      </c>
      <c r="B100">
        <v>140.5</v>
      </c>
      <c r="C100">
        <v>142</v>
      </c>
      <c r="D100">
        <v>140</v>
      </c>
      <c r="E100">
        <v>140.6</v>
      </c>
      <c r="F100">
        <v>12791660</v>
      </c>
      <c r="G100">
        <v>76</v>
      </c>
      <c r="H100" s="2">
        <f>(Query1[[#This Row],[Close]]-Query1[[#This Row],[IPO ISSUE PRICE]])/Query1[[#This Row],[IPO ISSUE PRICE]]</f>
        <v>0.85</v>
      </c>
      <c r="I100" s="3">
        <f>(Query1[[#This Row],[Close]]-E99)/E99</f>
        <v>-3.5549235691440716E-4</v>
      </c>
    </row>
    <row r="101" spans="1:9">
      <c r="A101" s="1">
        <v>44546</v>
      </c>
      <c r="B101">
        <v>141.9</v>
      </c>
      <c r="C101">
        <v>142.85</v>
      </c>
      <c r="D101">
        <v>137.4</v>
      </c>
      <c r="E101">
        <v>138.4</v>
      </c>
      <c r="F101">
        <v>17182100</v>
      </c>
      <c r="G101">
        <v>76</v>
      </c>
      <c r="H101" s="2">
        <f>(Query1[[#This Row],[Close]]-Query1[[#This Row],[IPO ISSUE PRICE]])/Query1[[#This Row],[IPO ISSUE PRICE]]</f>
        <v>0.82105263157894748</v>
      </c>
      <c r="I101" s="3">
        <f>(Query1[[#This Row],[Close]]-E100)/E100</f>
        <v>-1.5647226173541882E-2</v>
      </c>
    </row>
    <row r="102" spans="1:9">
      <c r="A102" s="1">
        <v>44547</v>
      </c>
      <c r="B102">
        <v>138.94999999999999</v>
      </c>
      <c r="C102">
        <v>141</v>
      </c>
      <c r="D102">
        <v>132.35</v>
      </c>
      <c r="E102">
        <v>135.35</v>
      </c>
      <c r="F102">
        <v>95386200</v>
      </c>
      <c r="G102">
        <v>76</v>
      </c>
      <c r="H102" s="2">
        <f>(Query1[[#This Row],[Close]]-Query1[[#This Row],[IPO ISSUE PRICE]])/Query1[[#This Row],[IPO ISSUE PRICE]]</f>
        <v>0.78092105263157885</v>
      </c>
      <c r="I102" s="3">
        <f>(Query1[[#This Row],[Close]]-E101)/E101</f>
        <v>-2.2037572254335343E-2</v>
      </c>
    </row>
    <row r="103" spans="1:9">
      <c r="A103" s="1">
        <v>44550</v>
      </c>
      <c r="B103">
        <v>135.30000000000001</v>
      </c>
      <c r="C103">
        <v>135.75</v>
      </c>
      <c r="D103">
        <v>124.6</v>
      </c>
      <c r="E103">
        <v>126.55</v>
      </c>
      <c r="F103">
        <v>36064410</v>
      </c>
      <c r="G103">
        <v>76</v>
      </c>
      <c r="H103" s="2">
        <f>(Query1[[#This Row],[Close]]-Query1[[#This Row],[IPO ISSUE PRICE]])/Query1[[#This Row],[IPO ISSUE PRICE]]</f>
        <v>0.66513157894736841</v>
      </c>
      <c r="I103" s="3">
        <f>(Query1[[#This Row],[Close]]-E102)/E102</f>
        <v>-6.5016623568526027E-2</v>
      </c>
    </row>
    <row r="104" spans="1:9">
      <c r="A104" s="1">
        <v>44551</v>
      </c>
      <c r="B104">
        <v>128.85</v>
      </c>
      <c r="C104">
        <v>132.85</v>
      </c>
      <c r="D104">
        <v>128.6</v>
      </c>
      <c r="E104">
        <v>131.6</v>
      </c>
      <c r="F104">
        <v>20442770</v>
      </c>
      <c r="G104">
        <v>76</v>
      </c>
      <c r="H104" s="2">
        <f>(Query1[[#This Row],[Close]]-Query1[[#This Row],[IPO ISSUE PRICE]])/Query1[[#This Row],[IPO ISSUE PRICE]]</f>
        <v>0.731578947368421</v>
      </c>
      <c r="I104" s="3">
        <f>(Query1[[#This Row],[Close]]-E103)/E103</f>
        <v>3.9905175819834035E-2</v>
      </c>
    </row>
    <row r="105" spans="1:9">
      <c r="A105" s="1">
        <v>44552</v>
      </c>
      <c r="B105">
        <v>133.05000000000001</v>
      </c>
      <c r="C105">
        <v>139.75</v>
      </c>
      <c r="D105">
        <v>133</v>
      </c>
      <c r="E105">
        <v>138.65</v>
      </c>
      <c r="F105">
        <v>19425710</v>
      </c>
      <c r="G105">
        <v>76</v>
      </c>
      <c r="H105" s="2">
        <f>(Query1[[#This Row],[Close]]-Query1[[#This Row],[IPO ISSUE PRICE]])/Query1[[#This Row],[IPO ISSUE PRICE]]</f>
        <v>0.82434210526315799</v>
      </c>
      <c r="I105" s="3">
        <f>(Query1[[#This Row],[Close]]-E104)/E104</f>
        <v>5.3571428571428659E-2</v>
      </c>
    </row>
    <row r="106" spans="1:9">
      <c r="A106" s="1">
        <v>44553</v>
      </c>
      <c r="B106">
        <v>140.05000000000001</v>
      </c>
      <c r="C106">
        <v>140.75</v>
      </c>
      <c r="D106">
        <v>132.1</v>
      </c>
      <c r="E106">
        <v>133</v>
      </c>
      <c r="F106">
        <v>21934780</v>
      </c>
      <c r="G106">
        <v>76</v>
      </c>
      <c r="H106" s="2">
        <f>(Query1[[#This Row],[Close]]-Query1[[#This Row],[IPO ISSUE PRICE]])/Query1[[#This Row],[IPO ISSUE PRICE]]</f>
        <v>0.75</v>
      </c>
      <c r="I106" s="3">
        <f>(Query1[[#This Row],[Close]]-E105)/E105</f>
        <v>-4.0750090155066754E-2</v>
      </c>
    </row>
    <row r="107" spans="1:9">
      <c r="A107" s="1">
        <v>44554</v>
      </c>
      <c r="B107">
        <v>134.5</v>
      </c>
      <c r="C107">
        <v>134.5</v>
      </c>
      <c r="D107">
        <v>129.6</v>
      </c>
      <c r="E107">
        <v>131.44999999999999</v>
      </c>
      <c r="F107">
        <v>17625580</v>
      </c>
      <c r="G107">
        <v>76</v>
      </c>
      <c r="H107" s="2">
        <f>(Query1[[#This Row],[Close]]-Query1[[#This Row],[IPO ISSUE PRICE]])/Query1[[#This Row],[IPO ISSUE PRICE]]</f>
        <v>0.72960526315789453</v>
      </c>
      <c r="I107" s="3">
        <f>(Query1[[#This Row],[Close]]-E106)/E106</f>
        <v>-1.165413533834595E-2</v>
      </c>
    </row>
    <row r="108" spans="1:9">
      <c r="A108" s="1">
        <v>44557</v>
      </c>
      <c r="B108">
        <v>131.35</v>
      </c>
      <c r="C108">
        <v>133.85</v>
      </c>
      <c r="D108">
        <v>128</v>
      </c>
      <c r="E108">
        <v>132.75</v>
      </c>
      <c r="F108">
        <v>13934150</v>
      </c>
      <c r="G108">
        <v>76</v>
      </c>
      <c r="H108" s="2">
        <f>(Query1[[#This Row],[Close]]-Query1[[#This Row],[IPO ISSUE PRICE]])/Query1[[#This Row],[IPO ISSUE PRICE]]</f>
        <v>0.74671052631578949</v>
      </c>
      <c r="I108" s="3">
        <f>(Query1[[#This Row],[Close]]-E107)/E107</f>
        <v>9.889691898060186E-3</v>
      </c>
    </row>
    <row r="109" spans="1:9">
      <c r="A109" s="1">
        <v>44558</v>
      </c>
      <c r="B109">
        <v>133.69999999999999</v>
      </c>
      <c r="C109">
        <v>134</v>
      </c>
      <c r="D109">
        <v>131.65</v>
      </c>
      <c r="E109">
        <v>132.85</v>
      </c>
      <c r="F109">
        <v>11170270</v>
      </c>
      <c r="G109">
        <v>76</v>
      </c>
      <c r="H109" s="2">
        <f>(Query1[[#This Row],[Close]]-Query1[[#This Row],[IPO ISSUE PRICE]])/Query1[[#This Row],[IPO ISSUE PRICE]]</f>
        <v>0.74802631578947365</v>
      </c>
      <c r="I109" s="3">
        <f>(Query1[[#This Row],[Close]]-E108)/E108</f>
        <v>7.53295668549863E-4</v>
      </c>
    </row>
    <row r="110" spans="1:9">
      <c r="A110" s="1">
        <v>44559</v>
      </c>
      <c r="B110">
        <v>132.69999999999999</v>
      </c>
      <c r="C110">
        <v>137.69999999999999</v>
      </c>
      <c r="D110">
        <v>131.55000000000001</v>
      </c>
      <c r="E110">
        <v>137.1</v>
      </c>
      <c r="F110">
        <v>18914240</v>
      </c>
      <c r="G110">
        <v>76</v>
      </c>
      <c r="H110" s="2">
        <f>(Query1[[#This Row],[Close]]-Query1[[#This Row],[IPO ISSUE PRICE]])/Query1[[#This Row],[IPO ISSUE PRICE]]</f>
        <v>0.80394736842105252</v>
      </c>
      <c r="I110" s="3">
        <f>(Query1[[#This Row],[Close]]-E109)/E109</f>
        <v>3.1990967256304105E-2</v>
      </c>
    </row>
    <row r="111" spans="1:9">
      <c r="A111" s="1">
        <v>44560</v>
      </c>
      <c r="B111">
        <v>137.05000000000001</v>
      </c>
      <c r="C111">
        <v>137.05000000000001</v>
      </c>
      <c r="D111">
        <v>133.30000000000001</v>
      </c>
      <c r="E111">
        <v>133.94999999999999</v>
      </c>
      <c r="F111">
        <v>8369208</v>
      </c>
      <c r="G111">
        <v>76</v>
      </c>
      <c r="H111" s="2">
        <f>(Query1[[#This Row],[Close]]-Query1[[#This Row],[IPO ISSUE PRICE]])/Query1[[#This Row],[IPO ISSUE PRICE]]</f>
        <v>0.76249999999999984</v>
      </c>
      <c r="I111" s="3">
        <f>(Query1[[#This Row],[Close]]-E110)/E110</f>
        <v>-2.2975929978118204E-2</v>
      </c>
    </row>
    <row r="112" spans="1:9">
      <c r="A112" s="1">
        <v>44561</v>
      </c>
      <c r="B112">
        <v>133.85</v>
      </c>
      <c r="C112">
        <v>138.4</v>
      </c>
      <c r="D112">
        <v>133.4</v>
      </c>
      <c r="E112">
        <v>137.4</v>
      </c>
      <c r="F112">
        <v>11452240</v>
      </c>
      <c r="G112">
        <v>76</v>
      </c>
      <c r="H112" s="2">
        <f>(Query1[[#This Row],[Close]]-Query1[[#This Row],[IPO ISSUE PRICE]])/Query1[[#This Row],[IPO ISSUE PRICE]]</f>
        <v>0.80789473684210533</v>
      </c>
      <c r="I112" s="3">
        <f>(Query1[[#This Row],[Close]]-E111)/E111</f>
        <v>2.5755879059350634E-2</v>
      </c>
    </row>
    <row r="113" spans="1:9">
      <c r="A113" s="1">
        <v>44564</v>
      </c>
      <c r="B113">
        <v>139.69999999999999</v>
      </c>
      <c r="C113">
        <v>142.44999999999999</v>
      </c>
      <c r="D113">
        <v>138.30000000000001</v>
      </c>
      <c r="E113">
        <v>141.35</v>
      </c>
      <c r="F113">
        <v>22518240</v>
      </c>
      <c r="G113">
        <v>76</v>
      </c>
      <c r="H113" s="2">
        <f>(Query1[[#This Row],[Close]]-Query1[[#This Row],[IPO ISSUE PRICE]])/Query1[[#This Row],[IPO ISSUE PRICE]]</f>
        <v>0.8598684210526315</v>
      </c>
      <c r="I113" s="3">
        <f>(Query1[[#This Row],[Close]]-E112)/E112</f>
        <v>2.8748180494905302E-2</v>
      </c>
    </row>
    <row r="114" spans="1:9">
      <c r="A114" s="1">
        <v>44565</v>
      </c>
      <c r="B114">
        <v>141.35</v>
      </c>
      <c r="C114">
        <v>141.55000000000001</v>
      </c>
      <c r="D114">
        <v>137.6</v>
      </c>
      <c r="E114">
        <v>138.35</v>
      </c>
      <c r="F114">
        <v>10705790</v>
      </c>
      <c r="G114">
        <v>76</v>
      </c>
      <c r="H114" s="2">
        <f>(Query1[[#This Row],[Close]]-Query1[[#This Row],[IPO ISSUE PRICE]])/Query1[[#This Row],[IPO ISSUE PRICE]]</f>
        <v>0.82039473684210518</v>
      </c>
      <c r="I114" s="3">
        <f>(Query1[[#This Row],[Close]]-E113)/E113</f>
        <v>-2.1223912274495934E-2</v>
      </c>
    </row>
    <row r="115" spans="1:9">
      <c r="A115" s="1">
        <v>44566</v>
      </c>
      <c r="B115">
        <v>137.9</v>
      </c>
      <c r="C115">
        <v>137.9</v>
      </c>
      <c r="D115">
        <v>133.30000000000001</v>
      </c>
      <c r="E115">
        <v>133.94999999999999</v>
      </c>
      <c r="F115">
        <v>15874850</v>
      </c>
      <c r="G115">
        <v>76</v>
      </c>
      <c r="H115" s="2">
        <f>(Query1[[#This Row],[Close]]-Query1[[#This Row],[IPO ISSUE PRICE]])/Query1[[#This Row],[IPO ISSUE PRICE]]</f>
        <v>0.76249999999999984</v>
      </c>
      <c r="I115" s="3">
        <f>(Query1[[#This Row],[Close]]-E114)/E114</f>
        <v>-3.1803397181062565E-2</v>
      </c>
    </row>
    <row r="116" spans="1:9">
      <c r="A116" s="1">
        <v>44567</v>
      </c>
      <c r="B116">
        <v>133</v>
      </c>
      <c r="C116">
        <v>133.15</v>
      </c>
      <c r="D116">
        <v>129.6</v>
      </c>
      <c r="E116">
        <v>130</v>
      </c>
      <c r="F116">
        <v>23780410</v>
      </c>
      <c r="G116">
        <v>76</v>
      </c>
      <c r="H116" s="2">
        <f>(Query1[[#This Row],[Close]]-Query1[[#This Row],[IPO ISSUE PRICE]])/Query1[[#This Row],[IPO ISSUE PRICE]]</f>
        <v>0.71052631578947367</v>
      </c>
      <c r="I116" s="3">
        <f>(Query1[[#This Row],[Close]]-E115)/E115</f>
        <v>-2.9488615154908467E-2</v>
      </c>
    </row>
    <row r="117" spans="1:9">
      <c r="A117" s="1">
        <v>44568</v>
      </c>
      <c r="B117">
        <v>130</v>
      </c>
      <c r="C117">
        <v>131.44999999999999</v>
      </c>
      <c r="D117">
        <v>129</v>
      </c>
      <c r="E117">
        <v>129.25</v>
      </c>
      <c r="F117">
        <v>22846950</v>
      </c>
      <c r="G117">
        <v>76</v>
      </c>
      <c r="H117" s="2">
        <f>(Query1[[#This Row],[Close]]-Query1[[#This Row],[IPO ISSUE PRICE]])/Query1[[#This Row],[IPO ISSUE PRICE]]</f>
        <v>0.70065789473684215</v>
      </c>
      <c r="I117" s="3">
        <f>(Query1[[#This Row],[Close]]-E116)/E116</f>
        <v>-5.7692307692307696E-3</v>
      </c>
    </row>
    <row r="118" spans="1:9">
      <c r="A118" s="1">
        <v>44571</v>
      </c>
      <c r="B118">
        <v>130.5</v>
      </c>
      <c r="C118">
        <v>130.9</v>
      </c>
      <c r="D118">
        <v>129.4</v>
      </c>
      <c r="E118">
        <v>130.19999999999999</v>
      </c>
      <c r="F118">
        <v>11389370</v>
      </c>
      <c r="G118">
        <v>76</v>
      </c>
      <c r="H118" s="2">
        <f>(Query1[[#This Row],[Close]]-Query1[[#This Row],[IPO ISSUE PRICE]])/Query1[[#This Row],[IPO ISSUE PRICE]]</f>
        <v>0.71315789473684199</v>
      </c>
      <c r="I118" s="3">
        <f>(Query1[[#This Row],[Close]]-E117)/E117</f>
        <v>7.3500967117987514E-3</v>
      </c>
    </row>
    <row r="119" spans="1:9">
      <c r="A119" s="1">
        <v>44572</v>
      </c>
      <c r="B119">
        <v>131</v>
      </c>
      <c r="C119">
        <v>132.5</v>
      </c>
      <c r="D119">
        <v>130</v>
      </c>
      <c r="E119">
        <v>131.30000000000001</v>
      </c>
      <c r="F119">
        <v>15396650</v>
      </c>
      <c r="G119">
        <v>76</v>
      </c>
      <c r="H119" s="2">
        <f>(Query1[[#This Row],[Close]]-Query1[[#This Row],[IPO ISSUE PRICE]])/Query1[[#This Row],[IPO ISSUE PRICE]]</f>
        <v>0.72763157894736852</v>
      </c>
      <c r="I119" s="3">
        <f>(Query1[[#This Row],[Close]]-E118)/E118</f>
        <v>8.4485407066053984E-3</v>
      </c>
    </row>
    <row r="120" spans="1:9">
      <c r="A120" s="1">
        <v>44573</v>
      </c>
      <c r="B120">
        <v>132.1</v>
      </c>
      <c r="C120">
        <v>132.9</v>
      </c>
      <c r="D120">
        <v>131.6</v>
      </c>
      <c r="E120">
        <v>132.25</v>
      </c>
      <c r="F120">
        <v>8004430</v>
      </c>
      <c r="G120">
        <v>76</v>
      </c>
      <c r="H120" s="2">
        <f>(Query1[[#This Row],[Close]]-Query1[[#This Row],[IPO ISSUE PRICE]])/Query1[[#This Row],[IPO ISSUE PRICE]]</f>
        <v>0.74013157894736847</v>
      </c>
      <c r="I120" s="3">
        <f>(Query1[[#This Row],[Close]]-E119)/E119</f>
        <v>7.235338918507148E-3</v>
      </c>
    </row>
    <row r="121" spans="1:9">
      <c r="A121" s="1">
        <v>44574</v>
      </c>
      <c r="B121">
        <v>132.5</v>
      </c>
      <c r="C121">
        <v>133.44999999999999</v>
      </c>
      <c r="D121">
        <v>132.35</v>
      </c>
      <c r="E121">
        <v>133.1</v>
      </c>
      <c r="F121">
        <v>6535224</v>
      </c>
      <c r="G121">
        <v>76</v>
      </c>
      <c r="H121" s="2">
        <f>(Query1[[#This Row],[Close]]-Query1[[#This Row],[IPO ISSUE PRICE]])/Query1[[#This Row],[IPO ISSUE PRICE]]</f>
        <v>0.75131578947368416</v>
      </c>
      <c r="I121" s="3">
        <f>(Query1[[#This Row],[Close]]-E120)/E120</f>
        <v>6.4272211720226412E-3</v>
      </c>
    </row>
    <row r="122" spans="1:9">
      <c r="A122" s="1">
        <v>44575</v>
      </c>
      <c r="B122">
        <v>133.1</v>
      </c>
      <c r="C122">
        <v>134.44999999999999</v>
      </c>
      <c r="D122">
        <v>132.05000000000001</v>
      </c>
      <c r="E122">
        <v>133.6</v>
      </c>
      <c r="F122">
        <v>9443928</v>
      </c>
      <c r="G122">
        <v>76</v>
      </c>
      <c r="H122" s="2">
        <f>(Query1[[#This Row],[Close]]-Query1[[#This Row],[IPO ISSUE PRICE]])/Query1[[#This Row],[IPO ISSUE PRICE]]</f>
        <v>0.75789473684210518</v>
      </c>
      <c r="I122" s="3">
        <f>(Query1[[#This Row],[Close]]-E121)/E121</f>
        <v>3.7565740045078888E-3</v>
      </c>
    </row>
    <row r="123" spans="1:9">
      <c r="A123" s="1">
        <v>44578</v>
      </c>
      <c r="B123">
        <v>133.6</v>
      </c>
      <c r="C123">
        <v>134.5</v>
      </c>
      <c r="D123">
        <v>133</v>
      </c>
      <c r="E123">
        <v>134</v>
      </c>
      <c r="F123">
        <v>7515979</v>
      </c>
      <c r="G123">
        <v>76</v>
      </c>
      <c r="H123" s="2">
        <f>(Query1[[#This Row],[Close]]-Query1[[#This Row],[IPO ISSUE PRICE]])/Query1[[#This Row],[IPO ISSUE PRICE]]</f>
        <v>0.76315789473684215</v>
      </c>
      <c r="I123" s="3">
        <f>(Query1[[#This Row],[Close]]-E122)/E122</f>
        <v>2.9940119760479469E-3</v>
      </c>
    </row>
    <row r="124" spans="1:9">
      <c r="A124" s="1">
        <v>44579</v>
      </c>
      <c r="B124">
        <v>134.5</v>
      </c>
      <c r="C124">
        <v>134.6</v>
      </c>
      <c r="D124">
        <v>132.80000000000001</v>
      </c>
      <c r="E124">
        <v>133.05000000000001</v>
      </c>
      <c r="F124">
        <v>9428096</v>
      </c>
      <c r="G124">
        <v>76</v>
      </c>
      <c r="H124" s="2">
        <f>(Query1[[#This Row],[Close]]-Query1[[#This Row],[IPO ISSUE PRICE]])/Query1[[#This Row],[IPO ISSUE PRICE]]</f>
        <v>0.7506578947368423</v>
      </c>
      <c r="I124" s="3">
        <f>(Query1[[#This Row],[Close]]-E123)/E123</f>
        <v>-7.0895522388058855E-3</v>
      </c>
    </row>
    <row r="125" spans="1:9">
      <c r="A125" s="1">
        <v>44580</v>
      </c>
      <c r="B125">
        <v>131.69999999999999</v>
      </c>
      <c r="C125">
        <v>132.4</v>
      </c>
      <c r="D125">
        <v>128.25</v>
      </c>
      <c r="E125">
        <v>129.19999999999999</v>
      </c>
      <c r="F125">
        <v>27812340</v>
      </c>
      <c r="G125">
        <v>76</v>
      </c>
      <c r="H125" s="2">
        <f>(Query1[[#This Row],[Close]]-Query1[[#This Row],[IPO ISSUE PRICE]])/Query1[[#This Row],[IPO ISSUE PRICE]]</f>
        <v>0.69999999999999984</v>
      </c>
      <c r="I125" s="3">
        <f>(Query1[[#This Row],[Close]]-E124)/E124</f>
        <v>-2.8936490041338012E-2</v>
      </c>
    </row>
    <row r="126" spans="1:9">
      <c r="A126" s="1">
        <v>44581</v>
      </c>
      <c r="B126">
        <v>127.95</v>
      </c>
      <c r="C126">
        <v>130.69999999999999</v>
      </c>
      <c r="D126">
        <v>125</v>
      </c>
      <c r="E126">
        <v>125.2</v>
      </c>
      <c r="F126">
        <v>23290540</v>
      </c>
      <c r="G126">
        <v>76</v>
      </c>
      <c r="H126" s="2">
        <f>(Query1[[#This Row],[Close]]-Query1[[#This Row],[IPO ISSUE PRICE]])/Query1[[#This Row],[IPO ISSUE PRICE]]</f>
        <v>0.64736842105263159</v>
      </c>
      <c r="I126" s="3">
        <f>(Query1[[#This Row],[Close]]-E125)/E125</f>
        <v>-3.0959752321981317E-2</v>
      </c>
    </row>
    <row r="127" spans="1:9">
      <c r="A127" s="1">
        <v>44582</v>
      </c>
      <c r="B127">
        <v>125.15</v>
      </c>
      <c r="C127">
        <v>125.15</v>
      </c>
      <c r="D127">
        <v>112.55</v>
      </c>
      <c r="E127">
        <v>113.65</v>
      </c>
      <c r="F127">
        <v>59805920</v>
      </c>
      <c r="G127">
        <v>76</v>
      </c>
      <c r="H127" s="2">
        <f>(Query1[[#This Row],[Close]]-Query1[[#This Row],[IPO ISSUE PRICE]])/Query1[[#This Row],[IPO ISSUE PRICE]]</f>
        <v>0.49539473684210533</v>
      </c>
      <c r="I127" s="3">
        <f>(Query1[[#This Row],[Close]]-E126)/E126</f>
        <v>-9.2252396166134162E-2</v>
      </c>
    </row>
    <row r="128" spans="1:9">
      <c r="A128" s="1">
        <v>44585</v>
      </c>
      <c r="B128">
        <v>114</v>
      </c>
      <c r="C128">
        <v>114.2</v>
      </c>
      <c r="D128">
        <v>90.95</v>
      </c>
      <c r="E128">
        <v>91.35</v>
      </c>
      <c r="F128">
        <v>167044700</v>
      </c>
      <c r="G128">
        <v>76</v>
      </c>
      <c r="H128" s="2">
        <f>(Query1[[#This Row],[Close]]-Query1[[#This Row],[IPO ISSUE PRICE]])/Query1[[#This Row],[IPO ISSUE PRICE]]</f>
        <v>0.20197368421052625</v>
      </c>
      <c r="I128" s="3">
        <f>(Query1[[#This Row],[Close]]-E127)/E127</f>
        <v>-0.19621645402551702</v>
      </c>
    </row>
    <row r="129" spans="1:9">
      <c r="A129" s="1">
        <v>44586</v>
      </c>
      <c r="B129">
        <v>90.95</v>
      </c>
      <c r="C129">
        <v>100.45</v>
      </c>
      <c r="D129">
        <v>84.15</v>
      </c>
      <c r="E129">
        <v>100.45</v>
      </c>
      <c r="F129">
        <v>138336200</v>
      </c>
      <c r="G129">
        <v>76</v>
      </c>
      <c r="H129" s="2">
        <f>(Query1[[#This Row],[Close]]-Query1[[#This Row],[IPO ISSUE PRICE]])/Query1[[#This Row],[IPO ISSUE PRICE]]</f>
        <v>0.3217105263157895</v>
      </c>
      <c r="I129" s="3">
        <f>(Query1[[#This Row],[Close]]-E128)/E128</f>
        <v>9.9616858237547998E-2</v>
      </c>
    </row>
    <row r="130" spans="1:9">
      <c r="A130" s="1">
        <v>44588</v>
      </c>
      <c r="B130">
        <v>98</v>
      </c>
      <c r="C130">
        <v>98</v>
      </c>
      <c r="D130">
        <v>90.45</v>
      </c>
      <c r="E130">
        <v>90.5</v>
      </c>
      <c r="F130">
        <v>106488700</v>
      </c>
      <c r="G130">
        <v>76</v>
      </c>
      <c r="H130" s="2">
        <f>(Query1[[#This Row],[Close]]-Query1[[#This Row],[IPO ISSUE PRICE]])/Query1[[#This Row],[IPO ISSUE PRICE]]</f>
        <v>0.19078947368421054</v>
      </c>
      <c r="I130" s="3">
        <f>(Query1[[#This Row],[Close]]-E129)/E129</f>
        <v>-9.9054255848680967E-2</v>
      </c>
    </row>
    <row r="131" spans="1:9">
      <c r="A131" s="1">
        <v>44589</v>
      </c>
      <c r="B131">
        <v>93.6</v>
      </c>
      <c r="C131">
        <v>96.45</v>
      </c>
      <c r="D131">
        <v>88.8</v>
      </c>
      <c r="E131">
        <v>89.55</v>
      </c>
      <c r="F131">
        <v>61452430</v>
      </c>
      <c r="G131">
        <v>76</v>
      </c>
      <c r="H131" s="2">
        <f>(Query1[[#This Row],[Close]]-Query1[[#This Row],[IPO ISSUE PRICE]])/Query1[[#This Row],[IPO ISSUE PRICE]]</f>
        <v>0.1782894736842105</v>
      </c>
      <c r="I131" s="3">
        <f>(Query1[[#This Row],[Close]]-E130)/E130</f>
        <v>-1.0497237569060805E-2</v>
      </c>
    </row>
    <row r="132" spans="1:9">
      <c r="A132" s="1">
        <v>44592</v>
      </c>
      <c r="B132">
        <v>91.35</v>
      </c>
      <c r="C132">
        <v>92.5</v>
      </c>
      <c r="D132">
        <v>89.65</v>
      </c>
      <c r="E132">
        <v>90.4</v>
      </c>
      <c r="F132">
        <v>20203790</v>
      </c>
      <c r="G132">
        <v>76</v>
      </c>
      <c r="H132" s="2">
        <f>(Query1[[#This Row],[Close]]-Query1[[#This Row],[IPO ISSUE PRICE]])/Query1[[#This Row],[IPO ISSUE PRICE]]</f>
        <v>0.18947368421052638</v>
      </c>
      <c r="I132" s="3">
        <f>(Query1[[#This Row],[Close]]-E131)/E131</f>
        <v>9.491903964265868E-3</v>
      </c>
    </row>
    <row r="133" spans="1:9">
      <c r="A133" s="1">
        <v>44593</v>
      </c>
      <c r="B133">
        <v>91.75</v>
      </c>
      <c r="C133">
        <v>95.8</v>
      </c>
      <c r="D133">
        <v>91.05</v>
      </c>
      <c r="E133">
        <v>94.55</v>
      </c>
      <c r="F133">
        <v>32606750</v>
      </c>
      <c r="G133">
        <v>76</v>
      </c>
      <c r="H133" s="2">
        <f>(Query1[[#This Row],[Close]]-Query1[[#This Row],[IPO ISSUE PRICE]])/Query1[[#This Row],[IPO ISSUE PRICE]]</f>
        <v>0.24407894736842101</v>
      </c>
      <c r="I133" s="3">
        <f>(Query1[[#This Row],[Close]]-E132)/E132</f>
        <v>4.5907079646017604E-2</v>
      </c>
    </row>
    <row r="134" spans="1:9">
      <c r="A134" s="1">
        <v>44594</v>
      </c>
      <c r="B134">
        <v>95.75</v>
      </c>
      <c r="C134">
        <v>99.75</v>
      </c>
      <c r="D134">
        <v>94.8</v>
      </c>
      <c r="E134">
        <v>98.9</v>
      </c>
      <c r="F134">
        <v>18674080</v>
      </c>
      <c r="G134">
        <v>76</v>
      </c>
      <c r="H134" s="2">
        <f>(Query1[[#This Row],[Close]]-Query1[[#This Row],[IPO ISSUE PRICE]])/Query1[[#This Row],[IPO ISSUE PRICE]]</f>
        <v>0.30131578947368426</v>
      </c>
      <c r="I134" s="3">
        <f>(Query1[[#This Row],[Close]]-E133)/E133</f>
        <v>4.6007403490216911E-2</v>
      </c>
    </row>
    <row r="135" spans="1:9">
      <c r="A135" s="1">
        <v>44595</v>
      </c>
      <c r="B135">
        <v>98.5</v>
      </c>
      <c r="C135">
        <v>98.5</v>
      </c>
      <c r="D135">
        <v>96.1</v>
      </c>
      <c r="E135">
        <v>97.1</v>
      </c>
      <c r="F135">
        <v>9769090</v>
      </c>
      <c r="G135">
        <v>76</v>
      </c>
      <c r="H135" s="2">
        <f>(Query1[[#This Row],[Close]]-Query1[[#This Row],[IPO ISSUE PRICE]])/Query1[[#This Row],[IPO ISSUE PRICE]]</f>
        <v>0.27763157894736834</v>
      </c>
      <c r="I135" s="3">
        <f>(Query1[[#This Row],[Close]]-E134)/E134</f>
        <v>-1.8200202224469275E-2</v>
      </c>
    </row>
    <row r="136" spans="1:9">
      <c r="A136" s="1">
        <v>44596</v>
      </c>
      <c r="B136">
        <v>97.2</v>
      </c>
      <c r="C136">
        <v>97.85</v>
      </c>
      <c r="D136">
        <v>93.6</v>
      </c>
      <c r="E136">
        <v>94.2</v>
      </c>
      <c r="F136">
        <v>15354380</v>
      </c>
      <c r="G136">
        <v>76</v>
      </c>
      <c r="H136" s="2">
        <f>(Query1[[#This Row],[Close]]-Query1[[#This Row],[IPO ISSUE PRICE]])/Query1[[#This Row],[IPO ISSUE PRICE]]</f>
        <v>0.23947368421052637</v>
      </c>
      <c r="I136" s="3">
        <f>(Query1[[#This Row],[Close]]-E135)/E135</f>
        <v>-2.9866117404737297E-2</v>
      </c>
    </row>
    <row r="137" spans="1:9">
      <c r="A137" s="1">
        <v>44599</v>
      </c>
      <c r="B137">
        <v>95.1</v>
      </c>
      <c r="C137">
        <v>95.5</v>
      </c>
      <c r="D137">
        <v>93.35</v>
      </c>
      <c r="E137">
        <v>93.55</v>
      </c>
      <c r="F137">
        <v>10900140</v>
      </c>
      <c r="G137">
        <v>76</v>
      </c>
      <c r="H137" s="2">
        <f>(Query1[[#This Row],[Close]]-Query1[[#This Row],[IPO ISSUE PRICE]])/Query1[[#This Row],[IPO ISSUE PRICE]]</f>
        <v>0.23092105263157892</v>
      </c>
      <c r="I137" s="3">
        <f>(Query1[[#This Row],[Close]]-E136)/E136</f>
        <v>-6.9002123142251131E-3</v>
      </c>
    </row>
    <row r="138" spans="1:9">
      <c r="A138" s="1">
        <v>44600</v>
      </c>
      <c r="B138">
        <v>94.35</v>
      </c>
      <c r="C138">
        <v>94.65</v>
      </c>
      <c r="D138">
        <v>91.25</v>
      </c>
      <c r="E138">
        <v>93.55</v>
      </c>
      <c r="F138">
        <v>9026735</v>
      </c>
      <c r="G138">
        <v>76</v>
      </c>
      <c r="H138" s="2">
        <f>(Query1[[#This Row],[Close]]-Query1[[#This Row],[IPO ISSUE PRICE]])/Query1[[#This Row],[IPO ISSUE PRICE]]</f>
        <v>0.23092105263157892</v>
      </c>
      <c r="I138" s="3">
        <f>(Query1[[#This Row],[Close]]-E137)/E137</f>
        <v>0</v>
      </c>
    </row>
    <row r="139" spans="1:9">
      <c r="A139" s="1">
        <v>44601</v>
      </c>
      <c r="B139">
        <v>94.5</v>
      </c>
      <c r="C139">
        <v>95.45</v>
      </c>
      <c r="D139">
        <v>93.6</v>
      </c>
      <c r="E139">
        <v>94.2</v>
      </c>
      <c r="F139">
        <v>7876462</v>
      </c>
      <c r="G139">
        <v>76</v>
      </c>
      <c r="H139" s="2">
        <f>(Query1[[#This Row],[Close]]-Query1[[#This Row],[IPO ISSUE PRICE]])/Query1[[#This Row],[IPO ISSUE PRICE]]</f>
        <v>0.23947368421052637</v>
      </c>
      <c r="I139" s="3">
        <f>(Query1[[#This Row],[Close]]-E138)/E138</f>
        <v>6.9481560662747804E-3</v>
      </c>
    </row>
    <row r="140" spans="1:9">
      <c r="A140" s="1">
        <v>44602</v>
      </c>
      <c r="B140">
        <v>94.9</v>
      </c>
      <c r="C140">
        <v>95.4</v>
      </c>
      <c r="D140">
        <v>93</v>
      </c>
      <c r="E140">
        <v>94.45</v>
      </c>
      <c r="F140">
        <v>13257120</v>
      </c>
      <c r="G140">
        <v>76</v>
      </c>
      <c r="H140" s="2">
        <f>(Query1[[#This Row],[Close]]-Query1[[#This Row],[IPO ISSUE PRICE]])/Query1[[#This Row],[IPO ISSUE PRICE]]</f>
        <v>0.24276315789473688</v>
      </c>
      <c r="I140" s="3">
        <f>(Query1[[#This Row],[Close]]-E139)/E139</f>
        <v>2.6539278131634818E-3</v>
      </c>
    </row>
    <row r="141" spans="1:9">
      <c r="A141" s="1">
        <v>44603</v>
      </c>
      <c r="B141">
        <v>92.75</v>
      </c>
      <c r="C141">
        <v>92.75</v>
      </c>
      <c r="D141">
        <v>86.5</v>
      </c>
      <c r="E141">
        <v>88.7</v>
      </c>
      <c r="F141">
        <v>39976780</v>
      </c>
      <c r="G141">
        <v>76</v>
      </c>
      <c r="H141" s="2">
        <f>(Query1[[#This Row],[Close]]-Query1[[#This Row],[IPO ISSUE PRICE]])/Query1[[#This Row],[IPO ISSUE PRICE]]</f>
        <v>0.16710526315789478</v>
      </c>
      <c r="I141" s="3">
        <f>(Query1[[#This Row],[Close]]-E140)/E140</f>
        <v>-6.0878771836950764E-2</v>
      </c>
    </row>
    <row r="142" spans="1:9">
      <c r="A142" s="1">
        <v>44606</v>
      </c>
      <c r="B142">
        <v>87</v>
      </c>
      <c r="C142">
        <v>87</v>
      </c>
      <c r="D142">
        <v>80.55</v>
      </c>
      <c r="E142">
        <v>82.45</v>
      </c>
      <c r="F142" s="4">
        <v>35049550</v>
      </c>
      <c r="G142">
        <v>76</v>
      </c>
      <c r="H142" s="2">
        <f>(Query1[[#This Row],[Close]]-Query1[[#This Row],[IPO ISSUE PRICE]])/Query1[[#This Row],[IPO ISSUE PRICE]]</f>
        <v>8.4868421052631621E-2</v>
      </c>
      <c r="I142" s="3">
        <f>(Query1[[#This Row],[Close]]-E141)/E141</f>
        <v>-7.046223224351747E-2</v>
      </c>
    </row>
    <row r="143" spans="1:9">
      <c r="A143" s="1">
        <v>44607</v>
      </c>
      <c r="B143">
        <v>83.5</v>
      </c>
      <c r="C143">
        <v>84.65</v>
      </c>
      <c r="D143">
        <v>75.75</v>
      </c>
      <c r="E143">
        <v>82.7</v>
      </c>
      <c r="F143">
        <v>106216200</v>
      </c>
      <c r="G143">
        <v>76</v>
      </c>
      <c r="H143" s="2">
        <f>(Query1[[#This Row],[Close]]-Query1[[#This Row],[IPO ISSUE PRICE]])/Query1[[#This Row],[IPO ISSUE PRICE]]</f>
        <v>8.8157894736842143E-2</v>
      </c>
      <c r="I143" s="3">
        <f>(Query1[[#This Row],[Close]]-E142)/E142</f>
        <v>3.0321406913280777E-3</v>
      </c>
    </row>
    <row r="144" spans="1:9">
      <c r="A144" s="1">
        <v>44608</v>
      </c>
      <c r="B144">
        <v>85</v>
      </c>
      <c r="C144">
        <v>87</v>
      </c>
      <c r="D144">
        <v>84.25</v>
      </c>
      <c r="E144">
        <v>84.95</v>
      </c>
      <c r="F144">
        <v>33106600</v>
      </c>
      <c r="G144">
        <v>76</v>
      </c>
      <c r="H144" s="2">
        <f>(Query1[[#This Row],[Close]]-Query1[[#This Row],[IPO ISSUE PRICE]])/Query1[[#This Row],[IPO ISSUE PRICE]]</f>
        <v>0.11776315789473688</v>
      </c>
      <c r="I144" s="3">
        <f>(Query1[[#This Row],[Close]]-E143)/E143</f>
        <v>2.720677146311971E-2</v>
      </c>
    </row>
    <row r="145" spans="1:9">
      <c r="A145" s="1">
        <v>44609</v>
      </c>
      <c r="B145">
        <v>86.5</v>
      </c>
      <c r="C145">
        <v>90.1</v>
      </c>
      <c r="D145">
        <v>85.9</v>
      </c>
      <c r="E145">
        <v>89.15</v>
      </c>
      <c r="F145">
        <v>29566400</v>
      </c>
      <c r="G145">
        <v>76</v>
      </c>
      <c r="H145" s="2">
        <f>(Query1[[#This Row],[Close]]-Query1[[#This Row],[IPO ISSUE PRICE]])/Query1[[#This Row],[IPO ISSUE PRICE]]</f>
        <v>0.17302631578947375</v>
      </c>
      <c r="I145" s="3">
        <f>(Query1[[#This Row],[Close]]-E144)/E144</f>
        <v>4.944084755738673E-2</v>
      </c>
    </row>
    <row r="146" spans="1:9">
      <c r="A146" s="1">
        <v>44610</v>
      </c>
      <c r="B146">
        <v>88.1</v>
      </c>
      <c r="C146">
        <v>88.4</v>
      </c>
      <c r="D146">
        <v>85.2</v>
      </c>
      <c r="E146">
        <v>85.9</v>
      </c>
      <c r="F146">
        <v>15037120</v>
      </c>
      <c r="G146">
        <v>76</v>
      </c>
      <c r="H146" s="2">
        <f>(Query1[[#This Row],[Close]]-Query1[[#This Row],[IPO ISSUE PRICE]])/Query1[[#This Row],[IPO ISSUE PRICE]]</f>
        <v>0.13026315789473691</v>
      </c>
      <c r="I146" s="3">
        <f>(Query1[[#This Row],[Close]]-E145)/E145</f>
        <v>-3.6455412226584404E-2</v>
      </c>
    </row>
    <row r="147" spans="1:9">
      <c r="A147" s="1">
        <v>44613</v>
      </c>
      <c r="B147">
        <v>84.2</v>
      </c>
      <c r="C147">
        <v>84.8</v>
      </c>
      <c r="D147">
        <v>80.650000000000006</v>
      </c>
      <c r="E147">
        <v>81.55</v>
      </c>
      <c r="F147">
        <v>18853330</v>
      </c>
      <c r="G147">
        <v>76</v>
      </c>
      <c r="H147" s="2">
        <f>(Query1[[#This Row],[Close]]-Query1[[#This Row],[IPO ISSUE PRICE]])/Query1[[#This Row],[IPO ISSUE PRICE]]</f>
        <v>7.3026315789473648E-2</v>
      </c>
      <c r="I147" s="3">
        <f>(Query1[[#This Row],[Close]]-E146)/E146</f>
        <v>-5.0640279394645035E-2</v>
      </c>
    </row>
    <row r="148" spans="1:9">
      <c r="A148" s="1">
        <v>44614</v>
      </c>
      <c r="B148">
        <v>78</v>
      </c>
      <c r="C148">
        <v>80.55</v>
      </c>
      <c r="D148">
        <v>77</v>
      </c>
      <c r="E148">
        <v>79.7</v>
      </c>
      <c r="F148">
        <v>28814770</v>
      </c>
      <c r="G148">
        <v>76</v>
      </c>
      <c r="H148" s="2">
        <f>(Query1[[#This Row],[Close]]-Query1[[#This Row],[IPO ISSUE PRICE]])/Query1[[#This Row],[IPO ISSUE PRICE]]</f>
        <v>4.868421052631583E-2</v>
      </c>
      <c r="I148" s="3">
        <f>(Query1[[#This Row],[Close]]-E147)/E147</f>
        <v>-2.2685469037400298E-2</v>
      </c>
    </row>
    <row r="149" spans="1:9">
      <c r="A149" s="1">
        <v>44615</v>
      </c>
      <c r="B149">
        <v>82</v>
      </c>
      <c r="C149">
        <v>85.15</v>
      </c>
      <c r="D149">
        <v>81.2</v>
      </c>
      <c r="E149">
        <v>84.15</v>
      </c>
      <c r="F149">
        <v>19847600</v>
      </c>
      <c r="G149">
        <v>76</v>
      </c>
      <c r="H149" s="2">
        <f>(Query1[[#This Row],[Close]]-Query1[[#This Row],[IPO ISSUE PRICE]])/Query1[[#This Row],[IPO ISSUE PRICE]]</f>
        <v>0.10723684210526323</v>
      </c>
      <c r="I149" s="3">
        <f>(Query1[[#This Row],[Close]]-E148)/E148</f>
        <v>5.5834378920953609E-2</v>
      </c>
    </row>
    <row r="150" spans="1:9">
      <c r="A150" s="1">
        <v>44616</v>
      </c>
      <c r="B150">
        <v>78.650000000000006</v>
      </c>
      <c r="C150">
        <v>81.5</v>
      </c>
      <c r="D150">
        <v>78.099999999999994</v>
      </c>
      <c r="E150">
        <v>78.5</v>
      </c>
      <c r="F150">
        <v>22035310</v>
      </c>
      <c r="G150">
        <v>76</v>
      </c>
      <c r="H150" s="2">
        <f>(Query1[[#This Row],[Close]]-Query1[[#This Row],[IPO ISSUE PRICE]])/Query1[[#This Row],[IPO ISSUE PRICE]]</f>
        <v>3.2894736842105261E-2</v>
      </c>
      <c r="I150" s="3">
        <f>(Query1[[#This Row],[Close]]-E149)/E149</f>
        <v>-6.7142008318478968E-2</v>
      </c>
    </row>
    <row r="151" spans="1:9">
      <c r="A151" s="1">
        <v>44617</v>
      </c>
      <c r="B151">
        <v>82</v>
      </c>
      <c r="C151">
        <v>83.4</v>
      </c>
      <c r="D151">
        <v>78.150000000000006</v>
      </c>
      <c r="E151">
        <v>78.8</v>
      </c>
      <c r="F151">
        <v>22876040</v>
      </c>
      <c r="G151">
        <v>76</v>
      </c>
      <c r="H151" s="2">
        <f>(Query1[[#This Row],[Close]]-Query1[[#This Row],[IPO ISSUE PRICE]])/Query1[[#This Row],[IPO ISSUE PRICE]]</f>
        <v>3.6842105263157857E-2</v>
      </c>
      <c r="I151" s="3">
        <f>(Query1[[#This Row],[Close]]-E150)/E150</f>
        <v>3.8216560509553776E-3</v>
      </c>
    </row>
    <row r="152" spans="1:9">
      <c r="A152" s="1">
        <v>44620</v>
      </c>
      <c r="B152">
        <v>79</v>
      </c>
      <c r="C152">
        <v>80.95</v>
      </c>
      <c r="D152">
        <v>76.55</v>
      </c>
      <c r="E152">
        <v>79.95</v>
      </c>
      <c r="F152">
        <v>41975650</v>
      </c>
      <c r="G152">
        <v>76</v>
      </c>
      <c r="H152" s="2">
        <f>(Query1[[#This Row],[Close]]-Query1[[#This Row],[IPO ISSUE PRICE]])/Query1[[#This Row],[IPO ISSUE PRICE]]</f>
        <v>5.1973684210526352E-2</v>
      </c>
      <c r="I152" s="3">
        <f>(Query1[[#This Row],[Close]]-E151)/E151</f>
        <v>1.4593908629441698E-2</v>
      </c>
    </row>
    <row r="153" spans="1:9">
      <c r="A153" s="1">
        <v>44622</v>
      </c>
      <c r="B153">
        <v>80</v>
      </c>
      <c r="C153">
        <v>82</v>
      </c>
      <c r="D153">
        <v>79</v>
      </c>
      <c r="E153">
        <v>79.849999999999994</v>
      </c>
      <c r="F153">
        <v>20353220</v>
      </c>
      <c r="G153">
        <v>76</v>
      </c>
      <c r="H153" s="2">
        <f>(Query1[[#This Row],[Close]]-Query1[[#This Row],[IPO ISSUE PRICE]])/Query1[[#This Row],[IPO ISSUE PRICE]]</f>
        <v>5.0657894736842034E-2</v>
      </c>
      <c r="I153" s="3">
        <f>(Query1[[#This Row],[Close]]-E152)/E152</f>
        <v>-1.2507817385867233E-3</v>
      </c>
    </row>
    <row r="154" spans="1:9">
      <c r="A154" s="1">
        <v>44623</v>
      </c>
      <c r="B154">
        <v>81.5</v>
      </c>
      <c r="C154">
        <v>83.2</v>
      </c>
      <c r="D154">
        <v>81.2</v>
      </c>
      <c r="E154">
        <v>82.2</v>
      </c>
      <c r="F154">
        <v>16067220</v>
      </c>
      <c r="G154">
        <v>76</v>
      </c>
      <c r="H154" s="2">
        <f>(Query1[[#This Row],[Close]]-Query1[[#This Row],[IPO ISSUE PRICE]])/Query1[[#This Row],[IPO ISSUE PRICE]]</f>
        <v>8.1578947368421084E-2</v>
      </c>
      <c r="I154" s="3">
        <f>(Query1[[#This Row],[Close]]-E153)/E153</f>
        <v>2.9430181590482263E-2</v>
      </c>
    </row>
    <row r="155" spans="1:9">
      <c r="A155" s="1">
        <v>44624</v>
      </c>
      <c r="B155">
        <v>80.5</v>
      </c>
      <c r="C155">
        <v>82.9</v>
      </c>
      <c r="D155">
        <v>79.5</v>
      </c>
      <c r="E155">
        <v>80.2</v>
      </c>
      <c r="F155">
        <v>15145230</v>
      </c>
      <c r="G155">
        <v>76</v>
      </c>
      <c r="H155" s="2">
        <f>(Query1[[#This Row],[Close]]-Query1[[#This Row],[IPO ISSUE PRICE]])/Query1[[#This Row],[IPO ISSUE PRICE]]</f>
        <v>5.5263157894736882E-2</v>
      </c>
      <c r="I155" s="3">
        <f>(Query1[[#This Row],[Close]]-E154)/E154</f>
        <v>-2.4330900243309E-2</v>
      </c>
    </row>
    <row r="156" spans="1:9">
      <c r="A156" s="1">
        <v>44627</v>
      </c>
      <c r="B156">
        <v>79</v>
      </c>
      <c r="C156">
        <v>79.650000000000006</v>
      </c>
      <c r="D156">
        <v>78</v>
      </c>
      <c r="E156">
        <v>79</v>
      </c>
      <c r="F156">
        <v>9764606</v>
      </c>
      <c r="G156">
        <v>76</v>
      </c>
      <c r="H156" s="2">
        <f>(Query1[[#This Row],[Close]]-Query1[[#This Row],[IPO ISSUE PRICE]])/Query1[[#This Row],[IPO ISSUE PRICE]]</f>
        <v>3.9473684210526314E-2</v>
      </c>
      <c r="I156" s="3">
        <f>(Query1[[#This Row],[Close]]-E155)/E155</f>
        <v>-1.4962593516209511E-2</v>
      </c>
    </row>
    <row r="157" spans="1:9">
      <c r="A157" s="1">
        <v>44628</v>
      </c>
      <c r="B157">
        <v>79.25</v>
      </c>
      <c r="C157">
        <v>80.599999999999994</v>
      </c>
      <c r="D157">
        <v>77.599999999999994</v>
      </c>
      <c r="E157">
        <v>78.150000000000006</v>
      </c>
      <c r="F157">
        <v>12381950</v>
      </c>
      <c r="G157">
        <v>76</v>
      </c>
      <c r="H157" s="2">
        <f>(Query1[[#This Row],[Close]]-Query1[[#This Row],[IPO ISSUE PRICE]])/Query1[[#This Row],[IPO ISSUE PRICE]]</f>
        <v>2.82894736842106E-2</v>
      </c>
      <c r="I157" s="3">
        <f>(Query1[[#This Row],[Close]]-E156)/E156</f>
        <v>-1.0759493670886003E-2</v>
      </c>
    </row>
    <row r="158" spans="1:9">
      <c r="A158" s="1">
        <v>44629</v>
      </c>
      <c r="B158">
        <v>79.45</v>
      </c>
      <c r="C158">
        <v>80.650000000000006</v>
      </c>
      <c r="D158">
        <v>78.900000000000006</v>
      </c>
      <c r="E158">
        <v>80.349999999999994</v>
      </c>
      <c r="F158">
        <v>11887750</v>
      </c>
      <c r="G158">
        <v>76</v>
      </c>
      <c r="H158" s="2">
        <f>(Query1[[#This Row],[Close]]-Query1[[#This Row],[IPO ISSUE PRICE]])/Query1[[#This Row],[IPO ISSUE PRICE]]</f>
        <v>5.7236842105263086E-2</v>
      </c>
      <c r="I158" s="3">
        <f>(Query1[[#This Row],[Close]]-E157)/E157</f>
        <v>2.81509916826614E-2</v>
      </c>
    </row>
    <row r="159" spans="1:9">
      <c r="A159" s="1">
        <v>44630</v>
      </c>
      <c r="B159">
        <v>82.55</v>
      </c>
      <c r="C159">
        <v>83.95</v>
      </c>
      <c r="D159">
        <v>81.7</v>
      </c>
      <c r="E159">
        <v>82.2</v>
      </c>
      <c r="F159">
        <v>13476200</v>
      </c>
      <c r="G159">
        <v>76</v>
      </c>
      <c r="H159" s="2">
        <f>(Query1[[#This Row],[Close]]-Query1[[#This Row],[IPO ISSUE PRICE]])/Query1[[#This Row],[IPO ISSUE PRICE]]</f>
        <v>8.1578947368421084E-2</v>
      </c>
      <c r="I159" s="3">
        <f>(Query1[[#This Row],[Close]]-E158)/E158</f>
        <v>2.3024268823895563E-2</v>
      </c>
    </row>
    <row r="160" spans="1:9">
      <c r="A160" s="1">
        <v>44631</v>
      </c>
      <c r="B160">
        <v>82.4</v>
      </c>
      <c r="C160">
        <v>82.4</v>
      </c>
      <c r="D160">
        <v>79.5</v>
      </c>
      <c r="E160">
        <v>79.900000000000006</v>
      </c>
      <c r="F160">
        <v>18964700</v>
      </c>
      <c r="G160">
        <v>76</v>
      </c>
      <c r="H160" s="2">
        <f>(Query1[[#This Row],[Close]]-Query1[[#This Row],[IPO ISSUE PRICE]])/Query1[[#This Row],[IPO ISSUE PRICE]]</f>
        <v>5.1315789473684287E-2</v>
      </c>
      <c r="I160" s="3">
        <f>(Query1[[#This Row],[Close]]-E159)/E159</f>
        <v>-2.7980535279805319E-2</v>
      </c>
    </row>
    <row r="161" spans="1:9">
      <c r="A161" s="1">
        <v>44634</v>
      </c>
      <c r="B161">
        <v>80.7</v>
      </c>
      <c r="C161">
        <v>80.7</v>
      </c>
      <c r="D161">
        <v>79</v>
      </c>
      <c r="E161">
        <v>79.3</v>
      </c>
      <c r="F161">
        <v>7261387</v>
      </c>
      <c r="G161">
        <v>76</v>
      </c>
      <c r="H161" s="2">
        <f>(Query1[[#This Row],[Close]]-Query1[[#This Row],[IPO ISSUE PRICE]])/Query1[[#This Row],[IPO ISSUE PRICE]]</f>
        <v>4.3421052631578909E-2</v>
      </c>
      <c r="I161" s="3">
        <f>(Query1[[#This Row],[Close]]-E160)/E160</f>
        <v>-7.5093867334168774E-3</v>
      </c>
    </row>
    <row r="162" spans="1:9">
      <c r="A162" s="1">
        <v>44635</v>
      </c>
      <c r="B162">
        <v>79.3</v>
      </c>
      <c r="C162">
        <v>79.599999999999994</v>
      </c>
      <c r="D162">
        <v>76</v>
      </c>
      <c r="E162">
        <v>76.55</v>
      </c>
      <c r="F162">
        <v>18900800</v>
      </c>
      <c r="G162">
        <v>76</v>
      </c>
      <c r="H162" s="2">
        <f>(Query1[[#This Row],[Close]]-Query1[[#This Row],[IPO ISSUE PRICE]])/Query1[[#This Row],[IPO ISSUE PRICE]]</f>
        <v>7.2368421052631205E-3</v>
      </c>
      <c r="I162" s="3">
        <f>(Query1[[#This Row],[Close]]-E161)/E161</f>
        <v>-3.467843631778058E-2</v>
      </c>
    </row>
    <row r="163" spans="1:9">
      <c r="A163" s="1">
        <v>44636</v>
      </c>
      <c r="B163">
        <v>80</v>
      </c>
      <c r="C163">
        <v>80</v>
      </c>
      <c r="D163">
        <v>75.5</v>
      </c>
      <c r="E163">
        <v>75.95</v>
      </c>
      <c r="F163">
        <v>42383300</v>
      </c>
      <c r="G163">
        <v>76</v>
      </c>
      <c r="H163" s="2">
        <f>(Query1[[#This Row],[Close]]-Query1[[#This Row],[IPO ISSUE PRICE]])/Query1[[#This Row],[IPO ISSUE PRICE]]</f>
        <v>-6.5789473684206784E-4</v>
      </c>
      <c r="I163" s="3">
        <f>(Query1[[#This Row],[Close]]-E162)/E162</f>
        <v>-7.8380143696929368E-3</v>
      </c>
    </row>
    <row r="164" spans="1:9">
      <c r="A164" s="1">
        <v>44637</v>
      </c>
      <c r="B164">
        <v>77.2</v>
      </c>
      <c r="C164">
        <v>82</v>
      </c>
      <c r="D164">
        <v>76.8</v>
      </c>
      <c r="E164">
        <v>80.849999999999994</v>
      </c>
      <c r="F164">
        <v>34440230</v>
      </c>
      <c r="G164">
        <v>76</v>
      </c>
      <c r="H164" s="2">
        <f>(Query1[[#This Row],[Close]]-Query1[[#This Row],[IPO ISSUE PRICE]])/Query1[[#This Row],[IPO ISSUE PRICE]]</f>
        <v>6.3815789473684131E-2</v>
      </c>
      <c r="I164" s="3">
        <f>(Query1[[#This Row],[Close]]-E163)/E163</f>
        <v>6.4516129032257952E-2</v>
      </c>
    </row>
    <row r="165" spans="1:9">
      <c r="A165" s="1">
        <v>44641</v>
      </c>
      <c r="B165">
        <v>82</v>
      </c>
      <c r="C165">
        <v>83.3</v>
      </c>
      <c r="D165">
        <v>79.25</v>
      </c>
      <c r="E165">
        <v>80.400000000000006</v>
      </c>
      <c r="F165">
        <v>28669860</v>
      </c>
      <c r="G165">
        <v>76</v>
      </c>
      <c r="H165" s="2">
        <f>(Query1[[#This Row],[Close]]-Query1[[#This Row],[IPO ISSUE PRICE]])/Query1[[#This Row],[IPO ISSUE PRICE]]</f>
        <v>5.7894736842105339E-2</v>
      </c>
      <c r="I165" s="3">
        <f>(Query1[[#This Row],[Close]]-E164)/E164</f>
        <v>-5.5658627087197109E-3</v>
      </c>
    </row>
    <row r="166" spans="1:9">
      <c r="A166" s="1">
        <v>44642</v>
      </c>
      <c r="B166">
        <v>80.95</v>
      </c>
      <c r="C166">
        <v>81.900000000000006</v>
      </c>
      <c r="D166">
        <v>79.3</v>
      </c>
      <c r="E166">
        <v>81.150000000000006</v>
      </c>
      <c r="F166">
        <v>23798590</v>
      </c>
      <c r="G166">
        <v>76</v>
      </c>
      <c r="H166" s="2">
        <f>(Query1[[#This Row],[Close]]-Query1[[#This Row],[IPO ISSUE PRICE]])/Query1[[#This Row],[IPO ISSUE PRICE]]</f>
        <v>6.7763157894736914E-2</v>
      </c>
      <c r="I166" s="3">
        <f>(Query1[[#This Row],[Close]]-E165)/E165</f>
        <v>9.3283582089552231E-3</v>
      </c>
    </row>
    <row r="167" spans="1:9">
      <c r="A167" s="1">
        <v>44643</v>
      </c>
      <c r="B167">
        <v>82</v>
      </c>
      <c r="C167">
        <v>82</v>
      </c>
      <c r="D167">
        <v>80.2</v>
      </c>
      <c r="E167">
        <v>80.75</v>
      </c>
      <c r="F167">
        <v>12522850</v>
      </c>
      <c r="G167">
        <v>76</v>
      </c>
      <c r="H167" s="2">
        <f>(Query1[[#This Row],[Close]]-Query1[[#This Row],[IPO ISSUE PRICE]])/Query1[[#This Row],[IPO ISSUE PRICE]]</f>
        <v>6.25E-2</v>
      </c>
      <c r="I167" s="3">
        <f>(Query1[[#This Row],[Close]]-E166)/E166</f>
        <v>-4.9291435613062927E-3</v>
      </c>
    </row>
    <row r="168" spans="1:9">
      <c r="A168" s="1">
        <v>44644</v>
      </c>
      <c r="B168">
        <v>80.7</v>
      </c>
      <c r="C168">
        <v>82.35</v>
      </c>
      <c r="D168">
        <v>80.05</v>
      </c>
      <c r="E168">
        <v>80.349999999999994</v>
      </c>
      <c r="F168">
        <v>12996470</v>
      </c>
      <c r="G168">
        <v>76</v>
      </c>
      <c r="H168" s="2">
        <f>(Query1[[#This Row],[Close]]-Query1[[#This Row],[IPO ISSUE PRICE]])/Query1[[#This Row],[IPO ISSUE PRICE]]</f>
        <v>5.7236842105263086E-2</v>
      </c>
      <c r="I168" s="3">
        <f>(Query1[[#This Row],[Close]]-E167)/E167</f>
        <v>-4.9535603715170984E-3</v>
      </c>
    </row>
    <row r="169" spans="1:9">
      <c r="A169" s="1">
        <v>44645</v>
      </c>
      <c r="B169">
        <v>81</v>
      </c>
      <c r="C169">
        <v>81.849999999999994</v>
      </c>
      <c r="D169">
        <v>80.25</v>
      </c>
      <c r="E169">
        <v>80.599999999999994</v>
      </c>
      <c r="F169">
        <v>13585980</v>
      </c>
      <c r="G169">
        <v>76</v>
      </c>
      <c r="H169" s="2">
        <f>(Query1[[#This Row],[Close]]-Query1[[#This Row],[IPO ISSUE PRICE]])/Query1[[#This Row],[IPO ISSUE PRICE]]</f>
        <v>6.0526315789473609E-2</v>
      </c>
      <c r="I169" s="3">
        <f>(Query1[[#This Row],[Close]]-E168)/E168</f>
        <v>3.1113876789047919E-3</v>
      </c>
    </row>
    <row r="170" spans="1:9">
      <c r="A170" s="1">
        <v>44648</v>
      </c>
      <c r="B170">
        <v>80.599999999999994</v>
      </c>
      <c r="C170">
        <v>81</v>
      </c>
      <c r="D170">
        <v>79.150000000000006</v>
      </c>
      <c r="E170">
        <v>79.650000000000006</v>
      </c>
      <c r="F170">
        <v>10034660</v>
      </c>
      <c r="G170">
        <v>76</v>
      </c>
      <c r="H170" s="2">
        <f>(Query1[[#This Row],[Close]]-Query1[[#This Row],[IPO ISSUE PRICE]])/Query1[[#This Row],[IPO ISSUE PRICE]]</f>
        <v>4.8026315789473757E-2</v>
      </c>
      <c r="I170" s="3">
        <f>(Query1[[#This Row],[Close]]-E169)/E169</f>
        <v>-1.1786600496277775E-2</v>
      </c>
    </row>
    <row r="171" spans="1:9">
      <c r="A171" s="1">
        <v>44649</v>
      </c>
      <c r="B171">
        <v>80.05</v>
      </c>
      <c r="C171">
        <v>80.5</v>
      </c>
      <c r="D171">
        <v>78.05</v>
      </c>
      <c r="E171">
        <v>78.2</v>
      </c>
      <c r="F171">
        <v>13466520</v>
      </c>
      <c r="G171">
        <v>76</v>
      </c>
      <c r="H171" s="2">
        <f>(Query1[[#This Row],[Close]]-Query1[[#This Row],[IPO ISSUE PRICE]])/Query1[[#This Row],[IPO ISSUE PRICE]]</f>
        <v>2.894736842105267E-2</v>
      </c>
      <c r="I171" s="3">
        <f>(Query1[[#This Row],[Close]]-E170)/E170</f>
        <v>-1.8204645323289425E-2</v>
      </c>
    </row>
    <row r="172" spans="1:9">
      <c r="A172" s="1">
        <v>44650</v>
      </c>
      <c r="B172">
        <v>79</v>
      </c>
      <c r="C172">
        <v>86</v>
      </c>
      <c r="D172">
        <v>78.5</v>
      </c>
      <c r="E172">
        <v>85.05</v>
      </c>
      <c r="F172">
        <v>41305970</v>
      </c>
      <c r="G172">
        <v>76</v>
      </c>
      <c r="H172" s="2">
        <f>(Query1[[#This Row],[Close]]-Query1[[#This Row],[IPO ISSUE PRICE]])/Query1[[#This Row],[IPO ISSUE PRICE]]</f>
        <v>0.11907894736842102</v>
      </c>
      <c r="I172" s="3">
        <f>(Query1[[#This Row],[Close]]-E171)/E171</f>
        <v>8.7595907928388672E-2</v>
      </c>
    </row>
    <row r="173" spans="1:9">
      <c r="A173" s="1">
        <v>44651</v>
      </c>
      <c r="B173">
        <v>88.7</v>
      </c>
      <c r="C173">
        <v>88.7</v>
      </c>
      <c r="D173">
        <v>81.75</v>
      </c>
      <c r="E173">
        <v>82.3</v>
      </c>
      <c r="F173">
        <v>34672910</v>
      </c>
      <c r="G173">
        <v>76</v>
      </c>
      <c r="H173" s="2">
        <f>(Query1[[#This Row],[Close]]-Query1[[#This Row],[IPO ISSUE PRICE]])/Query1[[#This Row],[IPO ISSUE PRICE]]</f>
        <v>8.2894736842105229E-2</v>
      </c>
      <c r="I173" s="3">
        <f>(Query1[[#This Row],[Close]]-E172)/E172</f>
        <v>-3.2333921222810112E-2</v>
      </c>
    </row>
    <row r="174" spans="1:9">
      <c r="A174" s="1">
        <v>44652</v>
      </c>
      <c r="B174">
        <v>82.1</v>
      </c>
      <c r="C174">
        <v>85.6</v>
      </c>
      <c r="D174">
        <v>82.05</v>
      </c>
      <c r="E174">
        <v>84.3</v>
      </c>
      <c r="F174">
        <v>15586810</v>
      </c>
      <c r="G174">
        <v>76</v>
      </c>
      <c r="H174" s="2">
        <f>(Query1[[#This Row],[Close]]-Query1[[#This Row],[IPO ISSUE PRICE]])/Query1[[#This Row],[IPO ISSUE PRICE]]</f>
        <v>0.10921052631578944</v>
      </c>
      <c r="I174" s="3">
        <f>(Query1[[#This Row],[Close]]-E173)/E173</f>
        <v>2.4301336573511544E-2</v>
      </c>
    </row>
    <row r="175" spans="1:9">
      <c r="A175" s="1">
        <v>44655</v>
      </c>
      <c r="B175">
        <v>84.4</v>
      </c>
      <c r="C175">
        <v>87.7</v>
      </c>
      <c r="D175">
        <v>84.4</v>
      </c>
      <c r="E175">
        <v>86.25</v>
      </c>
      <c r="F175">
        <v>18040880</v>
      </c>
      <c r="G175">
        <v>76</v>
      </c>
      <c r="H175" s="2">
        <f>(Query1[[#This Row],[Close]]-Query1[[#This Row],[IPO ISSUE PRICE]])/Query1[[#This Row],[IPO ISSUE PRICE]]</f>
        <v>0.13486842105263158</v>
      </c>
      <c r="I175" s="3">
        <f>(Query1[[#This Row],[Close]]-E174)/E174</f>
        <v>2.3131672597864802E-2</v>
      </c>
    </row>
    <row r="176" spans="1:9">
      <c r="A176" s="1">
        <v>44656</v>
      </c>
      <c r="B176">
        <v>83</v>
      </c>
      <c r="C176">
        <v>85.15</v>
      </c>
      <c r="D176">
        <v>82.35</v>
      </c>
      <c r="E176">
        <v>83.9</v>
      </c>
      <c r="F176">
        <v>28433440</v>
      </c>
      <c r="G176">
        <v>76</v>
      </c>
      <c r="H176" s="2">
        <f>(Query1[[#This Row],[Close]]-Query1[[#This Row],[IPO ISSUE PRICE]])/Query1[[#This Row],[IPO ISSUE PRICE]]</f>
        <v>0.1039473684210527</v>
      </c>
      <c r="I176" s="3">
        <f>(Query1[[#This Row],[Close]]-E175)/E175</f>
        <v>-2.7246376811594138E-2</v>
      </c>
    </row>
    <row r="177" spans="1:9">
      <c r="A177" s="1">
        <v>44657</v>
      </c>
      <c r="B177">
        <v>83.75</v>
      </c>
      <c r="C177">
        <v>85.3</v>
      </c>
      <c r="D177">
        <v>83.15</v>
      </c>
      <c r="E177">
        <v>84.55</v>
      </c>
      <c r="F177">
        <v>10697010</v>
      </c>
      <c r="G177">
        <v>76</v>
      </c>
      <c r="H177" s="2">
        <f>(Query1[[#This Row],[Close]]-Query1[[#This Row],[IPO ISSUE PRICE]])/Query1[[#This Row],[IPO ISSUE PRICE]]</f>
        <v>0.11249999999999996</v>
      </c>
      <c r="I177" s="3">
        <f>(Query1[[#This Row],[Close]]-E176)/E176</f>
        <v>7.7473182359951301E-3</v>
      </c>
    </row>
    <row r="178" spans="1:9">
      <c r="A178" s="1">
        <v>44658</v>
      </c>
      <c r="B178">
        <v>84.8</v>
      </c>
      <c r="C178">
        <v>85.25</v>
      </c>
      <c r="D178">
        <v>82.25</v>
      </c>
      <c r="E178">
        <v>82.5</v>
      </c>
      <c r="F178">
        <v>9709022</v>
      </c>
      <c r="G178">
        <v>76</v>
      </c>
      <c r="H178" s="2">
        <f>(Query1[[#This Row],[Close]]-Query1[[#This Row],[IPO ISSUE PRICE]])/Query1[[#This Row],[IPO ISSUE PRICE]]</f>
        <v>8.5526315789473686E-2</v>
      </c>
      <c r="I178" s="3">
        <f>(Query1[[#This Row],[Close]]-E177)/E177</f>
        <v>-2.4246008279124747E-2</v>
      </c>
    </row>
    <row r="179" spans="1:9">
      <c r="A179" s="1">
        <v>44659</v>
      </c>
      <c r="B179">
        <v>83.5</v>
      </c>
      <c r="C179">
        <v>85.5</v>
      </c>
      <c r="D179">
        <v>82.75</v>
      </c>
      <c r="E179">
        <v>83.4</v>
      </c>
      <c r="F179">
        <v>14851730</v>
      </c>
      <c r="G179">
        <v>76</v>
      </c>
      <c r="H179" s="2">
        <f>(Query1[[#This Row],[Close]]-Query1[[#This Row],[IPO ISSUE PRICE]])/Query1[[#This Row],[IPO ISSUE PRICE]]</f>
        <v>9.736842105263166E-2</v>
      </c>
      <c r="I179" s="3">
        <f>(Query1[[#This Row],[Close]]-E178)/E178</f>
        <v>1.0909090909090978E-2</v>
      </c>
    </row>
    <row r="180" spans="1:9">
      <c r="A180" s="1">
        <v>44662</v>
      </c>
      <c r="B180">
        <v>83.15</v>
      </c>
      <c r="C180">
        <v>85.85</v>
      </c>
      <c r="D180">
        <v>83</v>
      </c>
      <c r="E180">
        <v>84.45</v>
      </c>
      <c r="F180">
        <v>17609800</v>
      </c>
      <c r="G180">
        <v>76</v>
      </c>
      <c r="H180" s="2">
        <f>(Query1[[#This Row],[Close]]-Query1[[#This Row],[IPO ISSUE PRICE]])/Query1[[#This Row],[IPO ISSUE PRICE]]</f>
        <v>0.11118421052631583</v>
      </c>
      <c r="I180" s="3">
        <f>(Query1[[#This Row],[Close]]-E179)/E179</f>
        <v>1.2589928057553922E-2</v>
      </c>
    </row>
    <row r="181" spans="1:9">
      <c r="A181" s="1">
        <v>44663</v>
      </c>
      <c r="B181">
        <v>84.3</v>
      </c>
      <c r="C181">
        <v>84.3</v>
      </c>
      <c r="D181">
        <v>81</v>
      </c>
      <c r="E181">
        <v>81.5</v>
      </c>
      <c r="F181">
        <v>12913670</v>
      </c>
      <c r="G181">
        <v>76</v>
      </c>
      <c r="H181" s="2">
        <f>(Query1[[#This Row],[Close]]-Query1[[#This Row],[IPO ISSUE PRICE]])/Query1[[#This Row],[IPO ISSUE PRICE]]</f>
        <v>7.2368421052631582E-2</v>
      </c>
      <c r="I181" s="3">
        <f>(Query1[[#This Row],[Close]]-E180)/E180</f>
        <v>-3.4931912374185942E-2</v>
      </c>
    </row>
    <row r="182" spans="1:9">
      <c r="A182" s="1">
        <v>44664</v>
      </c>
      <c r="B182">
        <v>82.5</v>
      </c>
      <c r="C182">
        <v>88.3</v>
      </c>
      <c r="D182">
        <v>82.15</v>
      </c>
      <c r="E182">
        <v>83.9</v>
      </c>
      <c r="F182">
        <v>52988180</v>
      </c>
      <c r="G182">
        <v>76</v>
      </c>
      <c r="H182" s="2">
        <f>(Query1[[#This Row],[Close]]-Query1[[#This Row],[IPO ISSUE PRICE]])/Query1[[#This Row],[IPO ISSUE PRICE]]</f>
        <v>0.1039473684210527</v>
      </c>
      <c r="I182" s="3">
        <f>(Query1[[#This Row],[Close]]-E181)/E181</f>
        <v>2.9447852760736266E-2</v>
      </c>
    </row>
    <row r="183" spans="1:9">
      <c r="A183" s="1">
        <v>44669</v>
      </c>
      <c r="B183">
        <v>83.7</v>
      </c>
      <c r="C183">
        <v>84.4</v>
      </c>
      <c r="D183">
        <v>82.55</v>
      </c>
      <c r="E183">
        <v>82.9</v>
      </c>
      <c r="F183">
        <v>14209900</v>
      </c>
      <c r="G183">
        <v>76</v>
      </c>
      <c r="H183" s="2">
        <f>(Query1[[#This Row],[Close]]-Query1[[#This Row],[IPO ISSUE PRICE]])/Query1[[#This Row],[IPO ISSUE PRICE]]</f>
        <v>9.07894736842106E-2</v>
      </c>
      <c r="I183" s="3">
        <f>(Query1[[#This Row],[Close]]-E182)/E182</f>
        <v>-1.1918951132300357E-2</v>
      </c>
    </row>
    <row r="184" spans="1:9">
      <c r="A184" s="1">
        <v>44670</v>
      </c>
      <c r="B184">
        <v>83.1</v>
      </c>
      <c r="C184">
        <v>83.9</v>
      </c>
      <c r="D184">
        <v>79.45</v>
      </c>
      <c r="E184">
        <v>80.45</v>
      </c>
      <c r="F184">
        <v>13439870</v>
      </c>
      <c r="G184">
        <v>76</v>
      </c>
      <c r="H184" s="2">
        <f>(Query1[[#This Row],[Close]]-Query1[[#This Row],[IPO ISSUE PRICE]])/Query1[[#This Row],[IPO ISSUE PRICE]]</f>
        <v>5.8552631578947405E-2</v>
      </c>
      <c r="I184" s="3">
        <f>(Query1[[#This Row],[Close]]-E183)/E183</f>
        <v>-2.9553679131483747E-2</v>
      </c>
    </row>
    <row r="185" spans="1:9">
      <c r="A185" s="1">
        <v>44671</v>
      </c>
      <c r="B185">
        <v>81.599999999999994</v>
      </c>
      <c r="C185">
        <v>82.3</v>
      </c>
      <c r="D185">
        <v>80</v>
      </c>
      <c r="E185">
        <v>80.3</v>
      </c>
      <c r="F185">
        <v>12797460</v>
      </c>
      <c r="G185">
        <v>76</v>
      </c>
      <c r="H185" s="2">
        <f>(Query1[[#This Row],[Close]]-Query1[[#This Row],[IPO ISSUE PRICE]])/Query1[[#This Row],[IPO ISSUE PRICE]]</f>
        <v>5.6578947368421013E-2</v>
      </c>
      <c r="I185" s="3">
        <f>(Query1[[#This Row],[Close]]-E184)/E184</f>
        <v>-1.8645121193288463E-3</v>
      </c>
    </row>
    <row r="186" spans="1:9">
      <c r="A186" s="1">
        <v>44672</v>
      </c>
      <c r="B186">
        <v>81.099999999999994</v>
      </c>
      <c r="C186">
        <v>81.849999999999994</v>
      </c>
      <c r="D186">
        <v>80.650000000000006</v>
      </c>
      <c r="E186">
        <v>80.8</v>
      </c>
      <c r="F186">
        <v>6780602</v>
      </c>
      <c r="G186">
        <v>76</v>
      </c>
      <c r="H186" s="2">
        <f>(Query1[[#This Row],[Close]]-Query1[[#This Row],[IPO ISSUE PRICE]])/Query1[[#This Row],[IPO ISSUE PRICE]]</f>
        <v>6.3157894736842066E-2</v>
      </c>
      <c r="I186" s="3">
        <f>(Query1[[#This Row],[Close]]-E185)/E185</f>
        <v>6.2266500622665012E-3</v>
      </c>
    </row>
    <row r="187" spans="1:9">
      <c r="A187" s="1">
        <v>44673</v>
      </c>
      <c r="B187">
        <v>80.7</v>
      </c>
      <c r="C187">
        <v>81.8</v>
      </c>
      <c r="D187">
        <v>80.2</v>
      </c>
      <c r="E187">
        <v>81.2</v>
      </c>
      <c r="F187">
        <v>7211263</v>
      </c>
      <c r="G187">
        <v>76</v>
      </c>
      <c r="H187" s="2">
        <f>(Query1[[#This Row],[Close]]-Query1[[#This Row],[IPO ISSUE PRICE]])/Query1[[#This Row],[IPO ISSUE PRICE]]</f>
        <v>6.842105263157898E-2</v>
      </c>
      <c r="I187" s="3">
        <f>(Query1[[#This Row],[Close]]-E186)/E186</f>
        <v>4.9504950495050208E-3</v>
      </c>
    </row>
    <row r="188" spans="1:9">
      <c r="A188" s="1">
        <v>44676</v>
      </c>
      <c r="B188">
        <v>80.5</v>
      </c>
      <c r="C188">
        <v>81.599999999999994</v>
      </c>
      <c r="D188">
        <v>78.599999999999994</v>
      </c>
      <c r="E188">
        <v>78.75</v>
      </c>
      <c r="F188">
        <v>16717050</v>
      </c>
      <c r="G188">
        <v>76</v>
      </c>
      <c r="H188" s="2">
        <f>(Query1[[#This Row],[Close]]-Query1[[#This Row],[IPO ISSUE PRICE]])/Query1[[#This Row],[IPO ISSUE PRICE]]</f>
        <v>3.6184210526315791E-2</v>
      </c>
      <c r="I188" s="3">
        <f>(Query1[[#This Row],[Close]]-E187)/E187</f>
        <v>-3.0172413793103481E-2</v>
      </c>
    </row>
    <row r="189" spans="1:9">
      <c r="A189" s="1">
        <v>44677</v>
      </c>
      <c r="B189">
        <v>80.599999999999994</v>
      </c>
      <c r="C189">
        <v>80.900000000000006</v>
      </c>
      <c r="D189">
        <v>78.599999999999994</v>
      </c>
      <c r="E189">
        <v>79.599999999999994</v>
      </c>
      <c r="F189">
        <v>9548939</v>
      </c>
      <c r="G189">
        <v>76</v>
      </c>
      <c r="H189" s="2">
        <f>(Query1[[#This Row],[Close]]-Query1[[#This Row],[IPO ISSUE PRICE]])/Query1[[#This Row],[IPO ISSUE PRICE]]</f>
        <v>4.7368421052631504E-2</v>
      </c>
      <c r="I189" s="3">
        <f>(Query1[[#This Row],[Close]]-E188)/E188</f>
        <v>1.0793650793650722E-2</v>
      </c>
    </row>
    <row r="190" spans="1:9">
      <c r="A190" s="1">
        <v>44678</v>
      </c>
      <c r="B190">
        <v>79.400000000000006</v>
      </c>
      <c r="C190">
        <v>79.599999999999994</v>
      </c>
      <c r="D190">
        <v>75.5</v>
      </c>
      <c r="E190">
        <v>75.849999999999994</v>
      </c>
      <c r="F190">
        <v>23626620</v>
      </c>
      <c r="G190">
        <v>76</v>
      </c>
      <c r="H190" s="2">
        <f>(Query1[[#This Row],[Close]]-Query1[[#This Row],[IPO ISSUE PRICE]])/Query1[[#This Row],[IPO ISSUE PRICE]]</f>
        <v>-1.9736842105263904E-3</v>
      </c>
      <c r="I190" s="3">
        <f>(Query1[[#This Row],[Close]]-E189)/E189</f>
        <v>-4.7110552763819098E-2</v>
      </c>
    </row>
    <row r="191" spans="1:9">
      <c r="A191" s="1">
        <v>44679</v>
      </c>
      <c r="B191">
        <v>77.349999999999994</v>
      </c>
      <c r="C191">
        <v>77.599999999999994</v>
      </c>
      <c r="D191">
        <v>73.5</v>
      </c>
      <c r="E191">
        <v>73.849999999999994</v>
      </c>
      <c r="F191">
        <v>21338830</v>
      </c>
      <c r="G191">
        <v>76</v>
      </c>
      <c r="H191" s="2">
        <f>(Query1[[#This Row],[Close]]-Query1[[#This Row],[IPO ISSUE PRICE]])/Query1[[#This Row],[IPO ISSUE PRICE]]</f>
        <v>-2.82894736842106E-2</v>
      </c>
      <c r="I191" s="3">
        <f>(Query1[[#This Row],[Close]]-E190)/E190</f>
        <v>-2.6367831245880029E-2</v>
      </c>
    </row>
    <row r="192" spans="1:9">
      <c r="A192" s="1">
        <v>44680</v>
      </c>
      <c r="B192">
        <v>74.7</v>
      </c>
      <c r="C192">
        <v>74.849999999999994</v>
      </c>
      <c r="D192">
        <v>71.099999999999994</v>
      </c>
      <c r="E192">
        <v>71.75</v>
      </c>
      <c r="F192">
        <v>24873680</v>
      </c>
      <c r="G192">
        <v>76</v>
      </c>
      <c r="H192" s="2">
        <f>(Query1[[#This Row],[Close]]-Query1[[#This Row],[IPO ISSUE PRICE]])/Query1[[#This Row],[IPO ISSUE PRICE]]</f>
        <v>-5.5921052631578948E-2</v>
      </c>
      <c r="I192" s="3">
        <f>(Query1[[#This Row],[Close]]-E191)/E191</f>
        <v>-2.8436018957345897E-2</v>
      </c>
    </row>
    <row r="193" spans="1:9">
      <c r="A193" s="1">
        <v>44683</v>
      </c>
      <c r="B193">
        <v>71.75</v>
      </c>
      <c r="C193">
        <v>71.900000000000006</v>
      </c>
      <c r="D193">
        <v>68.75</v>
      </c>
      <c r="E193">
        <v>69.5</v>
      </c>
      <c r="F193" s="5">
        <v>18464589</v>
      </c>
      <c r="G193">
        <v>76</v>
      </c>
      <c r="H193" s="2">
        <f>(Query1[[#This Row],[Close]]-Query1[[#This Row],[IPO ISSUE PRICE]])/Query1[[#This Row],[IPO ISSUE PRICE]]</f>
        <v>-8.5526315789473686E-2</v>
      </c>
      <c r="I193" s="3">
        <f>(Query1[[#This Row],[Close]]-E192)/E192</f>
        <v>-3.1358885017421602E-2</v>
      </c>
    </row>
    <row r="194" spans="1:9">
      <c r="A194" s="1">
        <v>44685</v>
      </c>
      <c r="B194">
        <v>69.75</v>
      </c>
      <c r="C194">
        <v>70</v>
      </c>
      <c r="D194">
        <v>63.9</v>
      </c>
      <c r="E194">
        <v>64.45</v>
      </c>
      <c r="F194">
        <v>43049540</v>
      </c>
      <c r="G194">
        <v>76</v>
      </c>
      <c r="H194" s="2">
        <v>-0.15197368421052601</v>
      </c>
      <c r="I194" s="3">
        <f>(Query1[[#This Row],[Close]]-E193)/E193</f>
        <v>-7.2661870503597084E-2</v>
      </c>
    </row>
    <row r="195" spans="1:9">
      <c r="A195" s="1">
        <v>44686</v>
      </c>
      <c r="B195">
        <v>65.75</v>
      </c>
      <c r="C195">
        <v>66.650000000000006</v>
      </c>
      <c r="D195">
        <v>60.5</v>
      </c>
      <c r="E195">
        <v>61.15</v>
      </c>
      <c r="F195">
        <v>40296390</v>
      </c>
      <c r="G195">
        <v>76</v>
      </c>
      <c r="H195" s="2">
        <v>-0.19539473684210501</v>
      </c>
      <c r="I195" s="3">
        <f>(Query1[[#This Row],[Close]]-E194)/E194</f>
        <v>-5.120248254460829E-2</v>
      </c>
    </row>
    <row r="196" spans="1:9">
      <c r="A196" s="1">
        <v>44687</v>
      </c>
      <c r="B196">
        <v>59.3</v>
      </c>
      <c r="C196">
        <v>62.3</v>
      </c>
      <c r="D196">
        <v>57.65</v>
      </c>
      <c r="E196">
        <v>60.5</v>
      </c>
      <c r="F196">
        <v>47189320</v>
      </c>
      <c r="G196">
        <v>76</v>
      </c>
      <c r="H196" s="2">
        <v>-0.20394736842105299</v>
      </c>
      <c r="I196" s="3">
        <f>(Query1[[#This Row],[Close]]-E195)/E195</f>
        <v>-1.0629599345870787E-2</v>
      </c>
    </row>
    <row r="197" spans="1:9">
      <c r="A197" s="1">
        <v>44690</v>
      </c>
      <c r="B197">
        <v>59.6</v>
      </c>
      <c r="C197">
        <v>60.4</v>
      </c>
      <c r="D197">
        <v>55.65</v>
      </c>
      <c r="E197">
        <v>56.75</v>
      </c>
      <c r="F197">
        <v>38279090</v>
      </c>
      <c r="G197">
        <v>76</v>
      </c>
      <c r="H197" s="2">
        <v>-0.25328947368421001</v>
      </c>
      <c r="I197" s="3">
        <f>(Query1[[#This Row],[Close]]-E196)/E196</f>
        <v>-6.1983471074380167E-2</v>
      </c>
    </row>
    <row r="198" spans="1:9">
      <c r="A198" s="1">
        <v>44691</v>
      </c>
      <c r="B198">
        <v>55.75</v>
      </c>
      <c r="C198">
        <v>56.75</v>
      </c>
      <c r="D198">
        <v>50.05</v>
      </c>
      <c r="E198">
        <v>52.45</v>
      </c>
      <c r="F198">
        <v>45135580</v>
      </c>
      <c r="G198">
        <v>76</v>
      </c>
      <c r="H198" s="2">
        <v>-0.30986842105263201</v>
      </c>
      <c r="I198" s="3">
        <f>(Query1[[#This Row],[Close]]-E197)/E197</f>
        <v>-7.5770925110132115E-2</v>
      </c>
    </row>
    <row r="199" spans="1:9">
      <c r="A199" s="1">
        <v>44692</v>
      </c>
      <c r="B199">
        <v>52</v>
      </c>
      <c r="C199">
        <v>56.45</v>
      </c>
      <c r="D199">
        <v>50.3</v>
      </c>
      <c r="E199">
        <v>54.2</v>
      </c>
      <c r="F199">
        <v>99812770</v>
      </c>
      <c r="G199">
        <v>76</v>
      </c>
      <c r="H199" s="2">
        <v>-0.28684210526315801</v>
      </c>
      <c r="I199" s="3">
        <f>(Query1[[#This Row],[Close]]-E198)/E198</f>
        <v>3.336510962821735E-2</v>
      </c>
    </row>
    <row r="200" spans="1:9">
      <c r="A200" s="1">
        <v>44693</v>
      </c>
      <c r="B200">
        <v>53.8</v>
      </c>
      <c r="C200">
        <v>53.9</v>
      </c>
      <c r="D200">
        <v>51.05</v>
      </c>
      <c r="E200">
        <v>51.95</v>
      </c>
      <c r="F200">
        <v>37338260</v>
      </c>
      <c r="G200">
        <v>76</v>
      </c>
      <c r="H200" s="2">
        <v>-0.31644736842105298</v>
      </c>
      <c r="I200" s="3">
        <f>(Query1[[#This Row],[Close]]-E199)/E199</f>
        <v>-4.1512915129151291E-2</v>
      </c>
    </row>
    <row r="201" spans="1:9">
      <c r="A201" s="1">
        <v>44694</v>
      </c>
      <c r="B201">
        <v>53.3</v>
      </c>
      <c r="C201">
        <v>59.2</v>
      </c>
      <c r="D201">
        <v>52.25</v>
      </c>
      <c r="E201">
        <v>56.85</v>
      </c>
      <c r="F201">
        <v>79292210</v>
      </c>
      <c r="G201">
        <v>76</v>
      </c>
      <c r="H201" s="2">
        <v>-0.25197368421052602</v>
      </c>
      <c r="I201" s="3">
        <f>(Query1[[#This Row],[Close]]-E200)/E200</f>
        <v>9.4321462945139531E-2</v>
      </c>
    </row>
    <row r="202" spans="1:9">
      <c r="A202" s="1">
        <v>44697</v>
      </c>
      <c r="B202">
        <v>56.85</v>
      </c>
      <c r="C202">
        <v>57.7</v>
      </c>
      <c r="D202">
        <v>54.75</v>
      </c>
      <c r="E202">
        <v>56.4</v>
      </c>
      <c r="F202">
        <v>37036100</v>
      </c>
      <c r="G202">
        <v>76</v>
      </c>
      <c r="H202" s="2">
        <v>-0.25789473684210501</v>
      </c>
      <c r="I202" s="3">
        <f>(Query1[[#This Row],[Close]]-E201)/E201</f>
        <v>-7.9155672823219489E-3</v>
      </c>
    </row>
    <row r="203" spans="1:9">
      <c r="A203" s="1">
        <v>44698</v>
      </c>
      <c r="B203">
        <v>56.1</v>
      </c>
      <c r="C203">
        <v>56.7</v>
      </c>
      <c r="D203">
        <v>55.15</v>
      </c>
      <c r="E203">
        <v>56.15</v>
      </c>
      <c r="F203">
        <v>21460380</v>
      </c>
      <c r="G203">
        <v>76</v>
      </c>
      <c r="H203" s="2">
        <v>-0.26118421052631602</v>
      </c>
      <c r="I203" s="3">
        <f>(Query1[[#This Row],[Close]]-E202)/E202</f>
        <v>-4.4326241134751776E-3</v>
      </c>
    </row>
    <row r="204" spans="1:9">
      <c r="A204" s="1">
        <v>44699</v>
      </c>
      <c r="B204">
        <v>56.1</v>
      </c>
      <c r="C204">
        <v>59.6</v>
      </c>
      <c r="D204">
        <v>55.85</v>
      </c>
      <c r="E204">
        <v>58.75</v>
      </c>
      <c r="F204">
        <v>57728110</v>
      </c>
      <c r="G204">
        <v>76</v>
      </c>
      <c r="H204" s="2">
        <v>-0.22697368421052599</v>
      </c>
      <c r="I204" s="3">
        <f>(Query1[[#This Row],[Close]]-E203)/E203</f>
        <v>4.6304541406945711E-2</v>
      </c>
    </row>
    <row r="205" spans="1:9">
      <c r="A205" s="1">
        <v>44700</v>
      </c>
      <c r="B205">
        <v>56.5</v>
      </c>
      <c r="C205">
        <v>56.85</v>
      </c>
      <c r="D205">
        <v>54.8</v>
      </c>
      <c r="E205">
        <v>55.35</v>
      </c>
      <c r="F205">
        <v>31970090</v>
      </c>
      <c r="G205">
        <v>76</v>
      </c>
      <c r="H205" s="2">
        <v>-0.27171052631578901</v>
      </c>
      <c r="I205" s="3">
        <f>(Query1[[#This Row],[Close]]-E204)/E204</f>
        <v>-5.7872340425531889E-2</v>
      </c>
    </row>
    <row r="206" spans="1:9">
      <c r="A206" s="1">
        <v>44701</v>
      </c>
      <c r="B206">
        <v>56.5</v>
      </c>
      <c r="C206">
        <v>58.75</v>
      </c>
      <c r="D206">
        <v>56.4</v>
      </c>
      <c r="E206">
        <v>58.05</v>
      </c>
      <c r="F206">
        <v>32411620</v>
      </c>
      <c r="G206">
        <v>76</v>
      </c>
      <c r="H206" s="2">
        <v>-0.236184210526316</v>
      </c>
      <c r="I206" s="3">
        <f>(Query1[[#This Row],[Close]]-E205)/E205</f>
        <v>4.8780487804877967E-2</v>
      </c>
    </row>
    <row r="207" spans="1:9">
      <c r="A207" s="1">
        <v>44704</v>
      </c>
      <c r="B207">
        <v>58.7</v>
      </c>
      <c r="C207">
        <v>60.5</v>
      </c>
      <c r="D207">
        <v>56.6</v>
      </c>
      <c r="E207">
        <v>57.05</v>
      </c>
      <c r="F207">
        <v>36830590</v>
      </c>
      <c r="G207">
        <v>76</v>
      </c>
      <c r="H207" s="2">
        <v>-0.249342105263158</v>
      </c>
      <c r="I207" s="3">
        <f>(Query1[[#This Row],[Close]]-E206)/E206</f>
        <v>-1.7226528854435832E-2</v>
      </c>
    </row>
    <row r="208" spans="1:9">
      <c r="A208" s="1">
        <v>44705</v>
      </c>
      <c r="B208">
        <v>57.95</v>
      </c>
      <c r="C208">
        <v>67.599999999999994</v>
      </c>
      <c r="D208">
        <v>57.9</v>
      </c>
      <c r="E208">
        <v>64.95</v>
      </c>
      <c r="F208">
        <v>193577700</v>
      </c>
      <c r="G208">
        <v>76</v>
      </c>
      <c r="H208" s="2">
        <v>-0.14539473684210499</v>
      </c>
      <c r="I208" s="3">
        <f>(Query1[[#This Row],[Close]]-E207)/E207</f>
        <v>0.13847502191060485</v>
      </c>
    </row>
    <row r="209" spans="1:9">
      <c r="A209" s="1">
        <v>44706</v>
      </c>
      <c r="B209">
        <v>65.7</v>
      </c>
      <c r="C209">
        <v>66.900000000000006</v>
      </c>
      <c r="D209">
        <v>60.65</v>
      </c>
      <c r="E209">
        <v>62.3</v>
      </c>
      <c r="F209">
        <v>104446900</v>
      </c>
      <c r="G209">
        <v>76</v>
      </c>
      <c r="H209" s="2">
        <v>-0.18026315789473699</v>
      </c>
      <c r="I209" s="3">
        <f>(Query1[[#This Row],[Close]]-E208)/E208</f>
        <v>-4.0800615858352665E-2</v>
      </c>
    </row>
    <row r="210" spans="1:9">
      <c r="A210" s="1">
        <v>44707</v>
      </c>
      <c r="B210">
        <v>61</v>
      </c>
      <c r="C210">
        <v>62.5</v>
      </c>
      <c r="D210">
        <v>59.6</v>
      </c>
      <c r="E210">
        <v>60.45</v>
      </c>
      <c r="F210">
        <v>46556390</v>
      </c>
      <c r="G210">
        <v>76</v>
      </c>
      <c r="H210" s="2">
        <v>-0.20460526315789501</v>
      </c>
      <c r="I210" s="3">
        <f>(Query1[[#This Row],[Close]]-E209)/E209</f>
        <v>-2.969502407704646E-2</v>
      </c>
    </row>
    <row r="211" spans="1:9">
      <c r="A211" s="1">
        <v>44708</v>
      </c>
      <c r="B211">
        <v>63</v>
      </c>
      <c r="C211">
        <v>63</v>
      </c>
      <c r="D211">
        <v>61.5</v>
      </c>
      <c r="E211">
        <v>62.05</v>
      </c>
      <c r="F211">
        <v>32064280</v>
      </c>
      <c r="G211">
        <v>76</v>
      </c>
      <c r="H211" s="2">
        <v>-0.183552631578947</v>
      </c>
      <c r="I211" s="3">
        <f>(Query1[[#This Row],[Close]]-E210)/E210</f>
        <v>2.6468155500413471E-2</v>
      </c>
    </row>
    <row r="212" spans="1:9">
      <c r="A212" s="1">
        <v>44711</v>
      </c>
      <c r="B212">
        <v>63.25</v>
      </c>
      <c r="C212">
        <v>72.099999999999994</v>
      </c>
      <c r="D212">
        <v>62.6</v>
      </c>
      <c r="E212">
        <v>71.05</v>
      </c>
      <c r="F212">
        <v>124103600</v>
      </c>
      <c r="G212">
        <v>76</v>
      </c>
      <c r="H212" s="2">
        <v>-6.5131578947368401E-2</v>
      </c>
      <c r="I212" s="3">
        <f>(Query1[[#This Row],[Close]]-E211)/E211</f>
        <v>0.14504431909750201</v>
      </c>
    </row>
    <row r="213" spans="1:9">
      <c r="A213" s="1">
        <v>44712</v>
      </c>
      <c r="B213">
        <v>68.5</v>
      </c>
      <c r="C213">
        <v>77.7</v>
      </c>
      <c r="D213">
        <v>67.400000000000006</v>
      </c>
      <c r="E213">
        <v>74.650000000000006</v>
      </c>
      <c r="F213">
        <v>184333900</v>
      </c>
      <c r="G213">
        <v>76</v>
      </c>
      <c r="H213" s="2">
        <v>-1.77631578947368E-2</v>
      </c>
      <c r="I213" s="3">
        <f>(Query1[[#This Row],[Close]]-E212)/E212</f>
        <v>5.0668543279380841E-2</v>
      </c>
    </row>
    <row r="214" spans="1:9">
      <c r="A214" s="1">
        <v>44713</v>
      </c>
      <c r="B214">
        <v>75.400000000000006</v>
      </c>
      <c r="C214">
        <v>79.8</v>
      </c>
      <c r="D214">
        <v>73.099999999999994</v>
      </c>
      <c r="E214">
        <v>74.7</v>
      </c>
      <c r="F214">
        <v>127949700</v>
      </c>
      <c r="G214">
        <v>76</v>
      </c>
      <c r="H214" s="2">
        <v>-1.71052631578947E-2</v>
      </c>
      <c r="I214" s="3">
        <f>(Query1[[#This Row],[Close]]-E213)/E213</f>
        <v>6.6979236436700814E-4</v>
      </c>
    </row>
    <row r="215" spans="1:9">
      <c r="A215" s="1">
        <v>44714</v>
      </c>
      <c r="B215">
        <v>74.400000000000006</v>
      </c>
      <c r="C215">
        <v>74.400000000000006</v>
      </c>
      <c r="D215">
        <v>71.400000000000006</v>
      </c>
      <c r="E215">
        <v>71.95</v>
      </c>
      <c r="F215">
        <v>47866800</v>
      </c>
      <c r="G215">
        <v>76</v>
      </c>
      <c r="H215" s="2">
        <v>-5.3289473684210498E-2</v>
      </c>
      <c r="I215" s="3">
        <f>(Query1[[#This Row],[Close]]-E214)/E214</f>
        <v>-3.6813922356091031E-2</v>
      </c>
    </row>
    <row r="216" spans="1:9">
      <c r="A216" s="1">
        <v>44715</v>
      </c>
      <c r="B216">
        <v>73.900000000000006</v>
      </c>
      <c r="C216">
        <v>74.849999999999994</v>
      </c>
      <c r="D216">
        <v>71.2</v>
      </c>
      <c r="E216">
        <v>72.150000000000006</v>
      </c>
      <c r="F216">
        <v>35779760</v>
      </c>
      <c r="G216">
        <v>76</v>
      </c>
      <c r="H216" s="2">
        <v>-5.0657894736841999E-2</v>
      </c>
      <c r="I216" s="3">
        <f>(Query1[[#This Row],[Close]]-E215)/E215</f>
        <v>2.7797081306463215E-3</v>
      </c>
    </row>
    <row r="217" spans="1:9">
      <c r="A217" s="1">
        <v>44718</v>
      </c>
      <c r="B217">
        <v>70</v>
      </c>
      <c r="C217">
        <v>71.2</v>
      </c>
      <c r="D217">
        <v>69.2</v>
      </c>
      <c r="E217">
        <v>69.900000000000006</v>
      </c>
      <c r="F217">
        <v>30078460</v>
      </c>
      <c r="G217">
        <v>76</v>
      </c>
      <c r="H217" s="2">
        <v>-8.02631578947368E-2</v>
      </c>
      <c r="I217" s="3">
        <f>(Query1[[#This Row],[Close]]-E216)/E216</f>
        <v>-3.1185031185031183E-2</v>
      </c>
    </row>
    <row r="218" spans="1:9">
      <c r="A218" s="1">
        <v>44719</v>
      </c>
      <c r="B218">
        <v>69.7</v>
      </c>
      <c r="C218">
        <v>69.7</v>
      </c>
      <c r="D218">
        <v>64.75</v>
      </c>
      <c r="E218">
        <v>65.400000000000006</v>
      </c>
      <c r="F218">
        <v>41755330</v>
      </c>
      <c r="G218">
        <v>76</v>
      </c>
      <c r="H218" s="2">
        <v>-0.139473684210526</v>
      </c>
      <c r="I218" s="3">
        <f>(Query1[[#This Row],[Close]]-E217)/E217</f>
        <v>-6.4377682403433473E-2</v>
      </c>
    </row>
    <row r="219" spans="1:9">
      <c r="A219" s="1">
        <v>44720</v>
      </c>
      <c r="B219">
        <v>66</v>
      </c>
      <c r="C219">
        <v>68.599999999999994</v>
      </c>
      <c r="D219">
        <v>64.099999999999994</v>
      </c>
      <c r="E219">
        <v>67.150000000000006</v>
      </c>
      <c r="F219">
        <v>46697870</v>
      </c>
      <c r="G219">
        <v>76</v>
      </c>
      <c r="H219" s="2">
        <v>-0.11644736842105299</v>
      </c>
      <c r="I219" s="3">
        <f>(Query1[[#This Row],[Close]]-E218)/E218</f>
        <v>2.6758409785932719E-2</v>
      </c>
    </row>
    <row r="220" spans="1:9">
      <c r="A220" s="1">
        <v>44721</v>
      </c>
      <c r="B220">
        <v>66.2</v>
      </c>
      <c r="C220">
        <v>69.7</v>
      </c>
      <c r="D220">
        <v>65</v>
      </c>
      <c r="E220">
        <v>68.7</v>
      </c>
      <c r="F220">
        <v>47653870</v>
      </c>
      <c r="G220">
        <v>76</v>
      </c>
      <c r="H220" s="2">
        <v>-9.6052631578947306E-2</v>
      </c>
      <c r="I220" s="3">
        <f>(Query1[[#This Row],[Close]]-E219)/E219</f>
        <v>2.3082650781831675E-2</v>
      </c>
    </row>
    <row r="221" spans="1:9">
      <c r="A221" s="1">
        <v>44722</v>
      </c>
      <c r="B221">
        <v>67.3</v>
      </c>
      <c r="C221">
        <v>69.7</v>
      </c>
      <c r="D221">
        <v>66.5</v>
      </c>
      <c r="E221">
        <v>69</v>
      </c>
      <c r="F221">
        <v>42040370</v>
      </c>
      <c r="G221">
        <v>76</v>
      </c>
      <c r="H221" s="2">
        <v>-9.2105263157894704E-2</v>
      </c>
      <c r="I221" s="3">
        <f>(Query1[[#This Row],[Close]]-E220)/E220</f>
        <v>4.3668122270741939E-3</v>
      </c>
    </row>
    <row r="222" spans="1:9">
      <c r="A222" s="1">
        <v>44725</v>
      </c>
      <c r="B222">
        <v>67.5</v>
      </c>
      <c r="C222">
        <v>68.3</v>
      </c>
      <c r="D222">
        <v>65.400000000000006</v>
      </c>
      <c r="E222">
        <v>67.5</v>
      </c>
      <c r="F222">
        <v>34863270</v>
      </c>
      <c r="G222">
        <v>76</v>
      </c>
      <c r="H222" s="2">
        <v>-0.11184210526315801</v>
      </c>
      <c r="I222" s="3">
        <f>(Query1[[#This Row],[Close]]-E221)/E221</f>
        <v>-2.1739130434782608E-2</v>
      </c>
    </row>
    <row r="223" spans="1:9">
      <c r="A223" s="1">
        <v>44726</v>
      </c>
      <c r="B223">
        <v>64.2</v>
      </c>
      <c r="C223">
        <v>70.75</v>
      </c>
      <c r="D223">
        <v>64</v>
      </c>
      <c r="E223">
        <v>70</v>
      </c>
      <c r="F223">
        <v>66677000</v>
      </c>
      <c r="G223">
        <v>76</v>
      </c>
      <c r="H223" s="2">
        <v>-7.8947368421052599E-2</v>
      </c>
      <c r="I223" s="3">
        <f>(Query1[[#This Row],[Close]]-E222)/E222</f>
        <v>3.7037037037037035E-2</v>
      </c>
    </row>
    <row r="224" spans="1:9">
      <c r="A224" s="1">
        <v>44727</v>
      </c>
      <c r="B224">
        <v>70.650000000000006</v>
      </c>
      <c r="C224">
        <v>71.900000000000006</v>
      </c>
      <c r="D224">
        <v>68.95</v>
      </c>
      <c r="E224">
        <v>70.2</v>
      </c>
      <c r="F224">
        <v>33246360</v>
      </c>
      <c r="G224">
        <v>76</v>
      </c>
      <c r="H224" s="2">
        <v>-7.6315789473684198E-2</v>
      </c>
      <c r="I224" s="3">
        <f>(Query1[[#This Row],[Close]]-E223)/E223</f>
        <v>2.8571428571428979E-3</v>
      </c>
    </row>
    <row r="225" spans="1:9">
      <c r="A225" s="1">
        <v>44728</v>
      </c>
      <c r="B225">
        <v>72</v>
      </c>
      <c r="C225">
        <v>72</v>
      </c>
      <c r="D225">
        <v>66.099999999999994</v>
      </c>
      <c r="E225">
        <v>67.2</v>
      </c>
      <c r="F225">
        <v>41879880</v>
      </c>
      <c r="G225">
        <v>76</v>
      </c>
      <c r="H225" s="2">
        <v>-0.11578947368421</v>
      </c>
      <c r="I225" s="3">
        <f>(Query1[[#This Row],[Close]]-E224)/E224</f>
        <v>-4.2735042735042736E-2</v>
      </c>
    </row>
    <row r="226" spans="1:9">
      <c r="A226" s="1">
        <v>44729</v>
      </c>
      <c r="B226">
        <v>65.650000000000006</v>
      </c>
      <c r="C226">
        <v>69.400000000000006</v>
      </c>
      <c r="D226">
        <v>65.3</v>
      </c>
      <c r="E226">
        <v>67.05</v>
      </c>
      <c r="F226">
        <v>33597220</v>
      </c>
      <c r="G226">
        <v>76</v>
      </c>
      <c r="H226" s="2">
        <v>-0.117763157894737</v>
      </c>
      <c r="I226" s="3">
        <f>(Query1[[#This Row],[Close]]-E225)/E225</f>
        <v>-2.2321428571429416E-3</v>
      </c>
    </row>
    <row r="227" spans="1:9">
      <c r="A227" s="1">
        <v>44732</v>
      </c>
      <c r="B227">
        <v>68</v>
      </c>
      <c r="C227">
        <v>68</v>
      </c>
      <c r="D227">
        <v>64.05</v>
      </c>
      <c r="E227">
        <v>65</v>
      </c>
      <c r="F227">
        <v>27409010</v>
      </c>
      <c r="G227">
        <v>76</v>
      </c>
      <c r="H227" s="2">
        <v>-0.144736842105263</v>
      </c>
      <c r="I227" s="3">
        <f>(Query1[[#This Row],[Close]]-E226)/E226</f>
        <v>-3.0574198359433216E-2</v>
      </c>
    </row>
    <row r="228" spans="1:9">
      <c r="A228" s="1">
        <v>44733</v>
      </c>
      <c r="B228">
        <v>65.5</v>
      </c>
      <c r="C228">
        <v>67.25</v>
      </c>
      <c r="D228">
        <v>65.349999999999994</v>
      </c>
      <c r="E228">
        <v>66.05</v>
      </c>
      <c r="F228">
        <v>22905670</v>
      </c>
      <c r="G228">
        <v>76</v>
      </c>
      <c r="H228" s="2">
        <v>-0.13092105263157899</v>
      </c>
      <c r="I228" s="3">
        <f>(Query1[[#This Row],[Close]]-E227)/E227</f>
        <v>1.6153846153846109E-2</v>
      </c>
    </row>
    <row r="229" spans="1:9">
      <c r="A229" s="1">
        <v>44734</v>
      </c>
      <c r="B229">
        <v>65.95</v>
      </c>
      <c r="C229">
        <v>68.599999999999994</v>
      </c>
      <c r="D229">
        <v>65</v>
      </c>
      <c r="E229">
        <v>67.599999999999994</v>
      </c>
      <c r="F229">
        <v>35026600</v>
      </c>
      <c r="G229">
        <v>76</v>
      </c>
      <c r="H229" s="2">
        <v>-0.110526315789474</v>
      </c>
      <c r="I229" s="3">
        <f>(Query1[[#This Row],[Close]]-E228)/E228</f>
        <v>2.3467070401211161E-2</v>
      </c>
    </row>
    <row r="230" spans="1:9">
      <c r="A230" s="1">
        <v>44735</v>
      </c>
      <c r="B230">
        <v>67.05</v>
      </c>
      <c r="C230">
        <v>70</v>
      </c>
      <c r="D230">
        <v>66.5</v>
      </c>
      <c r="E230">
        <v>69.55</v>
      </c>
      <c r="F230">
        <v>33785880</v>
      </c>
      <c r="G230">
        <v>76</v>
      </c>
      <c r="H230" s="2">
        <v>-8.4868421052631607E-2</v>
      </c>
      <c r="I230" s="3">
        <f>(Query1[[#This Row],[Close]]-E229)/E229</f>
        <v>2.8846153846153889E-2</v>
      </c>
    </row>
    <row r="231" spans="1:9">
      <c r="A231" s="1">
        <v>44736</v>
      </c>
      <c r="B231">
        <v>71</v>
      </c>
      <c r="C231">
        <v>71.849999999999994</v>
      </c>
      <c r="D231">
        <v>69.55</v>
      </c>
      <c r="E231">
        <v>70.5</v>
      </c>
      <c r="F231">
        <v>23948410</v>
      </c>
      <c r="G231">
        <v>76</v>
      </c>
      <c r="H231" s="2">
        <v>-7.2368421052631596E-2</v>
      </c>
      <c r="I231" s="3">
        <f>(Query1[[#This Row],[Close]]-E230)/E230</f>
        <v>1.365923795830342E-2</v>
      </c>
    </row>
    <row r="232" spans="1:9">
      <c r="A232" s="1">
        <v>44739</v>
      </c>
      <c r="B232">
        <v>72.650000000000006</v>
      </c>
      <c r="C232">
        <v>72.7</v>
      </c>
      <c r="D232">
        <v>65</v>
      </c>
      <c r="E232">
        <v>65.849999999999994</v>
      </c>
      <c r="F232">
        <v>110751300</v>
      </c>
      <c r="G232">
        <v>76</v>
      </c>
      <c r="H232" s="2">
        <v>-0.13355263157894701</v>
      </c>
      <c r="I232" s="3">
        <f>(Query1[[#This Row],[Close]]-E231)/E231</f>
        <v>-6.595744680851072E-2</v>
      </c>
    </row>
    <row r="233" spans="1:9">
      <c r="A233" s="1">
        <v>44740</v>
      </c>
      <c r="B233">
        <v>65.7</v>
      </c>
      <c r="C233">
        <v>65.7</v>
      </c>
      <c r="D233">
        <v>59.65</v>
      </c>
      <c r="E233">
        <v>60.3</v>
      </c>
      <c r="F233">
        <v>120959400</v>
      </c>
      <c r="G233">
        <v>76</v>
      </c>
      <c r="H233" s="2">
        <v>-0.206578947368421</v>
      </c>
      <c r="I233" s="3">
        <f>(Query1[[#This Row],[Close]]-E232)/E232</f>
        <v>-8.4282460136674217E-2</v>
      </c>
    </row>
    <row r="234" spans="1:9">
      <c r="A234" s="1">
        <v>44741</v>
      </c>
      <c r="B234">
        <v>58.75</v>
      </c>
      <c r="C234">
        <v>61.45</v>
      </c>
      <c r="D234">
        <v>56.85</v>
      </c>
      <c r="E234">
        <v>57.3</v>
      </c>
      <c r="F234">
        <v>96955320</v>
      </c>
      <c r="G234">
        <v>76</v>
      </c>
      <c r="H234" s="2">
        <v>-0.246052631578947</v>
      </c>
      <c r="I234" s="3">
        <f>(Query1[[#This Row],[Close]]-E233)/E233</f>
        <v>-4.975124378109453E-2</v>
      </c>
    </row>
    <row r="235" spans="1:9">
      <c r="A235" s="1">
        <v>44742</v>
      </c>
      <c r="B235">
        <v>57.8</v>
      </c>
      <c r="C235">
        <v>59</v>
      </c>
      <c r="D235">
        <v>53.35</v>
      </c>
      <c r="E235">
        <v>53.85</v>
      </c>
      <c r="F235">
        <v>106893600</v>
      </c>
      <c r="G235">
        <v>76</v>
      </c>
      <c r="H235" s="2">
        <v>-0.29144736842105301</v>
      </c>
      <c r="I235" s="3">
        <f>(Query1[[#This Row],[Close]]-E234)/E234</f>
        <v>-6.0209424083769565E-2</v>
      </c>
    </row>
    <row r="236" spans="1:9">
      <c r="A236" s="1">
        <v>44743</v>
      </c>
      <c r="B236">
        <v>54.15</v>
      </c>
      <c r="C236">
        <v>56.7</v>
      </c>
      <c r="D236">
        <v>52.55</v>
      </c>
      <c r="E236">
        <v>56.15</v>
      </c>
      <c r="F236">
        <v>112078600</v>
      </c>
      <c r="G236">
        <v>76</v>
      </c>
      <c r="H236" s="2">
        <v>-0.26118421052631602</v>
      </c>
      <c r="I236" s="3">
        <f>(Query1[[#This Row],[Close]]-E235)/E235</f>
        <v>4.2711234911791962E-2</v>
      </c>
    </row>
    <row r="237" spans="1:9">
      <c r="A237" s="1">
        <v>44746</v>
      </c>
      <c r="B237">
        <v>54.5</v>
      </c>
      <c r="C237">
        <v>55.8</v>
      </c>
      <c r="D237">
        <v>53.3</v>
      </c>
      <c r="E237">
        <v>54.3</v>
      </c>
      <c r="F237">
        <v>56902450</v>
      </c>
      <c r="G237">
        <v>76</v>
      </c>
      <c r="H237" s="2">
        <v>-0.28552631578947402</v>
      </c>
      <c r="I237" s="3">
        <f>(Query1[[#This Row],[Close]]-E236)/E236</f>
        <v>-3.2947462154942146E-2</v>
      </c>
    </row>
    <row r="238" spans="1:9">
      <c r="A238" s="1">
        <v>44747</v>
      </c>
      <c r="B238">
        <v>55.4</v>
      </c>
      <c r="C238">
        <v>55.9</v>
      </c>
      <c r="D238">
        <v>54.35</v>
      </c>
      <c r="E238">
        <v>55.45</v>
      </c>
      <c r="F238">
        <v>51276620</v>
      </c>
      <c r="G238">
        <v>76</v>
      </c>
      <c r="H238" s="2">
        <v>-0.27039473684210502</v>
      </c>
      <c r="I238" s="3">
        <f>(Query1[[#This Row],[Close]]-E237)/E237</f>
        <v>2.1178637200736754E-2</v>
      </c>
    </row>
    <row r="239" spans="1:9">
      <c r="A239" s="1">
        <v>44748</v>
      </c>
      <c r="B239">
        <v>55.8</v>
      </c>
      <c r="C239">
        <v>55.8</v>
      </c>
      <c r="D239">
        <v>53.9</v>
      </c>
      <c r="E239">
        <v>54.35</v>
      </c>
      <c r="F239">
        <v>32403440</v>
      </c>
      <c r="G239">
        <v>76</v>
      </c>
      <c r="H239" s="2">
        <v>-0.28486842105263199</v>
      </c>
      <c r="I239" s="3">
        <f>(Query1[[#This Row],[Close]]-E238)/E238</f>
        <v>-1.983769161406675E-2</v>
      </c>
    </row>
    <row r="240" spans="1:9">
      <c r="A240" s="1">
        <v>44749</v>
      </c>
      <c r="B240">
        <v>54.65</v>
      </c>
      <c r="C240">
        <v>55.15</v>
      </c>
      <c r="D240">
        <v>53.75</v>
      </c>
      <c r="E240">
        <v>54.45</v>
      </c>
      <c r="F240">
        <v>35759420</v>
      </c>
      <c r="G240">
        <v>76</v>
      </c>
      <c r="H240" s="2">
        <v>-0.283552631578947</v>
      </c>
      <c r="I240" s="3">
        <f>(Query1[[#This Row],[Close]]-E239)/E239</f>
        <v>1.8399264029439082E-3</v>
      </c>
    </row>
    <row r="241" spans="1:9">
      <c r="A241" s="1">
        <v>44750</v>
      </c>
      <c r="B241">
        <v>55</v>
      </c>
      <c r="C241">
        <v>55.3</v>
      </c>
      <c r="D241">
        <v>54.3</v>
      </c>
      <c r="E241">
        <v>54.8</v>
      </c>
      <c r="F241">
        <v>21413550</v>
      </c>
      <c r="G241">
        <v>76</v>
      </c>
      <c r="H241" s="2">
        <v>-0.278947368421053</v>
      </c>
      <c r="I241" s="3">
        <f>(Query1[[#This Row],[Close]]-E240)/E240</f>
        <v>6.4279155188245053E-3</v>
      </c>
    </row>
    <row r="242" spans="1:9">
      <c r="A242" s="1">
        <v>44753</v>
      </c>
      <c r="B242">
        <v>54.7</v>
      </c>
      <c r="C242">
        <v>56.5</v>
      </c>
      <c r="D242">
        <v>54.2</v>
      </c>
      <c r="E242">
        <v>56.1</v>
      </c>
      <c r="F242">
        <v>21739000</v>
      </c>
      <c r="G242">
        <v>76</v>
      </c>
      <c r="H242" s="2">
        <v>-0.26184210526315799</v>
      </c>
      <c r="I242" s="3">
        <f>(Query1[[#This Row],[Close]]-E241)/E241</f>
        <v>2.3722627737226356E-2</v>
      </c>
    </row>
    <row r="243" spans="1:9">
      <c r="A243" s="1">
        <v>44754</v>
      </c>
      <c r="B243">
        <v>55.9</v>
      </c>
      <c r="C243">
        <v>59.65</v>
      </c>
      <c r="D243">
        <v>55.5</v>
      </c>
      <c r="E243">
        <v>59</v>
      </c>
      <c r="F243">
        <v>57986560</v>
      </c>
      <c r="G243">
        <v>76</v>
      </c>
      <c r="H243" s="2">
        <v>-0.22368421052631601</v>
      </c>
      <c r="I243" s="3">
        <f>(Query1[[#This Row],[Close]]-E242)/E242</f>
        <v>5.169340463458108E-2</v>
      </c>
    </row>
    <row r="244" spans="1:9">
      <c r="A244" s="1">
        <v>44755</v>
      </c>
      <c r="B244">
        <v>59</v>
      </c>
      <c r="C244">
        <v>61.5</v>
      </c>
      <c r="D244">
        <v>58</v>
      </c>
      <c r="E244">
        <v>58.35</v>
      </c>
      <c r="F244">
        <v>73383000</v>
      </c>
      <c r="G244">
        <v>76</v>
      </c>
      <c r="H244" s="2">
        <v>-0.23223684210526299</v>
      </c>
      <c r="I244" s="3">
        <f>(Query1[[#This Row],[Close]]-E243)/E243</f>
        <v>-1.1016949152542348E-2</v>
      </c>
    </row>
    <row r="245" spans="1:9">
      <c r="A245" s="1">
        <v>44756</v>
      </c>
      <c r="B245">
        <v>58.4</v>
      </c>
      <c r="C245">
        <v>59</v>
      </c>
      <c r="D245">
        <v>55.3</v>
      </c>
      <c r="E245">
        <v>55.65</v>
      </c>
      <c r="F245">
        <v>43024080</v>
      </c>
      <c r="G245">
        <v>76</v>
      </c>
      <c r="H245" s="2">
        <v>-0.26776315789473698</v>
      </c>
      <c r="I245" s="3">
        <f>(Query1[[#This Row],[Close]]-E244)/E244</f>
        <v>-4.6272493573264829E-2</v>
      </c>
    </row>
    <row r="246" spans="1:9">
      <c r="A246" s="1">
        <v>44757</v>
      </c>
      <c r="B246">
        <v>56.2</v>
      </c>
      <c r="C246">
        <v>56.2</v>
      </c>
      <c r="D246">
        <v>53.35</v>
      </c>
      <c r="E246">
        <v>53.9</v>
      </c>
      <c r="F246">
        <v>47995060</v>
      </c>
      <c r="G246">
        <v>76</v>
      </c>
      <c r="H246" s="2">
        <v>-0.29078947368421099</v>
      </c>
      <c r="I246" s="3">
        <f>(Query1[[#This Row],[Close]]-E245)/E245</f>
        <v>-3.1446540880503145E-2</v>
      </c>
    </row>
    <row r="247" spans="1:9">
      <c r="A247" s="1">
        <v>44760</v>
      </c>
      <c r="B247">
        <v>54.7</v>
      </c>
      <c r="C247">
        <v>55.1</v>
      </c>
      <c r="D247">
        <v>52.85</v>
      </c>
      <c r="E247">
        <v>53.6</v>
      </c>
      <c r="F247">
        <v>47689460</v>
      </c>
      <c r="G247">
        <v>76</v>
      </c>
      <c r="H247" s="2">
        <v>-0.29473684210526302</v>
      </c>
      <c r="I247" s="3">
        <f>(Query1[[#This Row],[Close]]-E246)/E246</f>
        <v>-5.5658627087197994E-3</v>
      </c>
    </row>
    <row r="248" spans="1:9">
      <c r="A248" s="1">
        <v>44761</v>
      </c>
      <c r="B248">
        <v>53.65</v>
      </c>
      <c r="C248">
        <v>54.4</v>
      </c>
      <c r="D248">
        <v>53.3</v>
      </c>
      <c r="E248">
        <v>53.95</v>
      </c>
      <c r="F248">
        <v>35427090</v>
      </c>
      <c r="G248">
        <v>76</v>
      </c>
      <c r="H248" s="2">
        <v>-0.29013157894736802</v>
      </c>
      <c r="I248" s="3">
        <f>(Query1[[#This Row],[Close]]-E247)/E247</f>
        <v>6.5298507462686834E-3</v>
      </c>
    </row>
    <row r="249" spans="1:9">
      <c r="A249" s="1">
        <v>44762</v>
      </c>
      <c r="B249">
        <v>54.5</v>
      </c>
      <c r="C249">
        <v>54.5</v>
      </c>
      <c r="D249">
        <v>53.2</v>
      </c>
      <c r="E249">
        <v>53.4</v>
      </c>
      <c r="F249">
        <v>37683090</v>
      </c>
      <c r="G249">
        <v>76</v>
      </c>
      <c r="H249" s="2">
        <v>-0.297368421052632</v>
      </c>
      <c r="I249" s="3">
        <f>(Query1[[#This Row],[Close]]-E248)/E248</f>
        <v>-1.0194624652456056E-2</v>
      </c>
    </row>
    <row r="250" spans="1:9">
      <c r="A250" s="1">
        <v>44763</v>
      </c>
      <c r="B250">
        <v>53.35</v>
      </c>
      <c r="C250">
        <v>54.45</v>
      </c>
      <c r="D250">
        <v>52.7</v>
      </c>
      <c r="E250">
        <v>53.5</v>
      </c>
      <c r="F250">
        <v>29402440</v>
      </c>
      <c r="G250">
        <v>76</v>
      </c>
      <c r="H250" s="2">
        <v>-0.29605263157894701</v>
      </c>
      <c r="I250" s="3">
        <f>(Query1[[#This Row],[Close]]-E249)/E249</f>
        <v>1.8726591760299892E-3</v>
      </c>
    </row>
    <row r="251" spans="1:9">
      <c r="A251" s="1">
        <v>44764</v>
      </c>
      <c r="B251">
        <v>53.75</v>
      </c>
      <c r="C251">
        <v>54</v>
      </c>
      <c r="D251">
        <v>52.9</v>
      </c>
      <c r="E251">
        <v>53.65</v>
      </c>
      <c r="F251">
        <v>27302080</v>
      </c>
      <c r="G251">
        <v>76</v>
      </c>
      <c r="H251" s="2">
        <v>-0.294078947368421</v>
      </c>
      <c r="I251" s="3">
        <f>(Query1[[#This Row],[Close]]-E250)/E250</f>
        <v>2.8037383177569827E-3</v>
      </c>
    </row>
    <row r="252" spans="1:9">
      <c r="A252" s="1">
        <v>44767</v>
      </c>
      <c r="B252">
        <v>52.5</v>
      </c>
      <c r="C252">
        <v>52.5</v>
      </c>
      <c r="D252">
        <v>46</v>
      </c>
      <c r="E252">
        <v>47.6</v>
      </c>
      <c r="F252">
        <v>232841100</v>
      </c>
      <c r="G252">
        <v>76</v>
      </c>
      <c r="H252" s="2">
        <v>-0.37368421052631601</v>
      </c>
      <c r="I252" s="3">
        <f>(Query1[[#This Row],[Close]]-E251)/E251</f>
        <v>-0.11276794035414719</v>
      </c>
    </row>
    <row r="253" spans="1:9">
      <c r="A253" s="1">
        <v>44768</v>
      </c>
      <c r="B253">
        <v>46.6</v>
      </c>
      <c r="C253">
        <v>46.65</v>
      </c>
      <c r="D253">
        <v>41.2</v>
      </c>
      <c r="E253">
        <v>41.65</v>
      </c>
      <c r="F253">
        <v>412304700</v>
      </c>
      <c r="G253">
        <v>76</v>
      </c>
      <c r="H253" s="2">
        <v>-0.45197368421052603</v>
      </c>
      <c r="I253" s="3">
        <f>(Query1[[#This Row],[Close]]-E252)/E252</f>
        <v>-0.12500000000000006</v>
      </c>
    </row>
    <row r="254" spans="1:9">
      <c r="A254" s="1">
        <v>44769</v>
      </c>
      <c r="B254">
        <v>40.85</v>
      </c>
      <c r="C254">
        <v>44.4</v>
      </c>
      <c r="D254">
        <v>40.6</v>
      </c>
      <c r="E254">
        <v>43.95</v>
      </c>
      <c r="F254">
        <v>411205100</v>
      </c>
      <c r="G254">
        <v>76</v>
      </c>
      <c r="H254" s="2">
        <v>-0.42171052631578898</v>
      </c>
      <c r="I254" s="3">
        <f>(Query1[[#This Row],[Close]]-E253)/E253</f>
        <v>5.5222088835534318E-2</v>
      </c>
    </row>
    <row r="255" spans="1:9">
      <c r="A255" s="1">
        <v>44770</v>
      </c>
      <c r="B255">
        <v>44.9</v>
      </c>
      <c r="C255">
        <v>46.3</v>
      </c>
      <c r="D255">
        <v>43.05</v>
      </c>
      <c r="E255">
        <v>45.7</v>
      </c>
      <c r="F255">
        <v>267544500</v>
      </c>
      <c r="G255">
        <v>76</v>
      </c>
      <c r="H255" s="2">
        <v>-0.39868421052631597</v>
      </c>
      <c r="I255" s="3">
        <f>(Query1[[#This Row],[Close]]-E254)/E254</f>
        <v>3.981797497155859E-2</v>
      </c>
    </row>
    <row r="256" spans="1:9">
      <c r="A256" s="1">
        <v>44771</v>
      </c>
      <c r="B256">
        <v>45.6</v>
      </c>
      <c r="C256">
        <v>47.2</v>
      </c>
      <c r="D256">
        <v>44.55</v>
      </c>
      <c r="E256">
        <v>46.8</v>
      </c>
      <c r="F256">
        <v>177187900</v>
      </c>
      <c r="G256">
        <v>76</v>
      </c>
      <c r="H256" s="2">
        <v>-0.38421052631579</v>
      </c>
      <c r="I256" s="3">
        <f>(Query1[[#This Row],[Close]]-E255)/E255</f>
        <v>2.4070021881837947E-2</v>
      </c>
    </row>
    <row r="257" spans="1:9">
      <c r="A257" s="1">
        <v>44774</v>
      </c>
      <c r="B257">
        <v>46.8</v>
      </c>
      <c r="C257">
        <v>47.25</v>
      </c>
      <c r="D257">
        <v>45.05</v>
      </c>
      <c r="E257">
        <v>46.3</v>
      </c>
      <c r="F257">
        <v>135944000</v>
      </c>
      <c r="G257">
        <v>76</v>
      </c>
      <c r="H257" s="2">
        <v>-0.39078947368421102</v>
      </c>
      <c r="I257" s="3">
        <f>(Query1[[#This Row],[Close]]-E256)/E256</f>
        <v>-1.0683760683760684E-2</v>
      </c>
    </row>
    <row r="258" spans="1:9">
      <c r="A258" s="1">
        <v>44775</v>
      </c>
      <c r="B258">
        <v>50</v>
      </c>
      <c r="C258">
        <v>55.55</v>
      </c>
      <c r="D258">
        <v>48.4</v>
      </c>
      <c r="E258">
        <v>55.55</v>
      </c>
      <c r="F258">
        <v>528899700</v>
      </c>
      <c r="G258">
        <v>76</v>
      </c>
      <c r="H258" s="2">
        <v>-0.26907894736842097</v>
      </c>
      <c r="I258" s="3">
        <f>(Query1[[#This Row],[Close]]-E257)/E257</f>
        <v>0.19978401727861772</v>
      </c>
    </row>
    <row r="259" spans="1:9">
      <c r="A259" s="1">
        <v>44776</v>
      </c>
      <c r="B259">
        <v>52.5</v>
      </c>
      <c r="C259">
        <v>56.9</v>
      </c>
      <c r="D259">
        <v>51.75</v>
      </c>
      <c r="E259">
        <v>55.45</v>
      </c>
      <c r="F259">
        <v>599688300</v>
      </c>
      <c r="G259">
        <v>76</v>
      </c>
      <c r="H259" s="2">
        <v>-0.27039473684210502</v>
      </c>
      <c r="I259" s="3">
        <f>(Query1[[#This Row],[Close]]-E258)/E258</f>
        <v>-1.800180018001698E-3</v>
      </c>
    </row>
    <row r="260" spans="1:9">
      <c r="A260" s="1">
        <v>44777</v>
      </c>
      <c r="B260">
        <v>55.75</v>
      </c>
      <c r="C260">
        <v>58.65</v>
      </c>
      <c r="D260">
        <v>54.5</v>
      </c>
      <c r="E260">
        <v>57.85</v>
      </c>
      <c r="F260">
        <v>420183400</v>
      </c>
      <c r="G260">
        <v>76</v>
      </c>
      <c r="H260" s="2">
        <v>-0.23881578947368401</v>
      </c>
      <c r="I260" s="3">
        <f>(Query1[[#This Row],[Close]]-E259)/E259</f>
        <v>4.3282236248872834E-2</v>
      </c>
    </row>
    <row r="261" spans="1:9">
      <c r="A261" s="1">
        <v>44778</v>
      </c>
      <c r="B261">
        <v>57.9</v>
      </c>
      <c r="C261">
        <v>59.15</v>
      </c>
      <c r="D261">
        <v>53.25</v>
      </c>
      <c r="E261">
        <v>54.6</v>
      </c>
      <c r="F261">
        <v>315019000</v>
      </c>
      <c r="G261">
        <v>76</v>
      </c>
      <c r="H261" s="2">
        <v>-0.28157894736842098</v>
      </c>
      <c r="I261" s="3">
        <f>(Query1[[#This Row],[Close]]-E260)/E260</f>
        <v>-5.6179775280898875E-2</v>
      </c>
    </row>
    <row r="262" spans="1:9">
      <c r="A262" s="1">
        <v>44781</v>
      </c>
      <c r="B262">
        <v>54.7</v>
      </c>
      <c r="C262">
        <v>56.2</v>
      </c>
      <c r="D262">
        <v>54.2</v>
      </c>
      <c r="E262">
        <v>55.45</v>
      </c>
      <c r="F262">
        <v>178185000</v>
      </c>
      <c r="G262">
        <v>76</v>
      </c>
      <c r="H262" s="2">
        <v>-0.27039473684210502</v>
      </c>
      <c r="I262" s="3">
        <f>(Query1[[#This Row],[Close]]-E261)/E261</f>
        <v>1.5567765567765594E-2</v>
      </c>
    </row>
    <row r="263" spans="1:9">
      <c r="A263" s="1">
        <v>44783</v>
      </c>
      <c r="B263">
        <v>56.2</v>
      </c>
      <c r="C263">
        <v>56.55</v>
      </c>
      <c r="D263">
        <v>54.5</v>
      </c>
      <c r="E263">
        <v>55.95</v>
      </c>
      <c r="F263">
        <v>200699900</v>
      </c>
      <c r="G263">
        <v>76</v>
      </c>
      <c r="H263" s="2">
        <v>-0.263815789473684</v>
      </c>
      <c r="I263" s="3">
        <f>(Query1[[#This Row],[Close]]-E262)/E262</f>
        <v>9.017132551848512E-3</v>
      </c>
    </row>
    <row r="264" spans="1:9">
      <c r="A264" s="1">
        <v>44784</v>
      </c>
      <c r="B264">
        <v>56.9</v>
      </c>
      <c r="C264">
        <v>58.15</v>
      </c>
      <c r="D264">
        <v>56.35</v>
      </c>
      <c r="E264">
        <v>57.9</v>
      </c>
      <c r="F264">
        <v>130942700</v>
      </c>
      <c r="G264">
        <v>76</v>
      </c>
      <c r="H264" s="2">
        <v>-0.23815789473684201</v>
      </c>
      <c r="I264" s="3">
        <f>(Query1[[#This Row],[Close]]-E263)/E263</f>
        <v>3.485254691689E-2</v>
      </c>
    </row>
    <row r="265" spans="1:9">
      <c r="A265" s="1">
        <v>44785</v>
      </c>
      <c r="B265">
        <v>58.1</v>
      </c>
      <c r="C265">
        <v>63.1</v>
      </c>
      <c r="D265">
        <v>57.9</v>
      </c>
      <c r="E265">
        <v>61.75</v>
      </c>
      <c r="F265">
        <v>351208900</v>
      </c>
      <c r="G265">
        <v>76</v>
      </c>
      <c r="H265" s="2">
        <v>-0.1875</v>
      </c>
      <c r="I265" s="3">
        <f>(Query1[[#This Row],[Close]]-E264)/E264</f>
        <v>6.6493955094991397E-2</v>
      </c>
    </row>
    <row r="266" spans="1:9">
      <c r="A266" s="1">
        <v>44789</v>
      </c>
      <c r="B266">
        <v>62.65</v>
      </c>
      <c r="C266">
        <v>67.45</v>
      </c>
      <c r="D266">
        <v>62.5</v>
      </c>
      <c r="E266">
        <v>64.25</v>
      </c>
      <c r="F266">
        <v>250686900</v>
      </c>
      <c r="G266">
        <v>76</v>
      </c>
      <c r="H266" s="2">
        <v>-0.154605263157895</v>
      </c>
      <c r="I266" s="3">
        <f>(Query1[[#This Row],[Close]]-E265)/E265</f>
        <v>4.048582995951417E-2</v>
      </c>
    </row>
    <row r="267" spans="1:9">
      <c r="A267" s="1">
        <v>44790</v>
      </c>
      <c r="B267">
        <v>64.8</v>
      </c>
      <c r="C267">
        <v>65.599999999999994</v>
      </c>
      <c r="D267">
        <v>61.8</v>
      </c>
      <c r="E267">
        <v>65.25</v>
      </c>
      <c r="F267">
        <v>258066500</v>
      </c>
      <c r="G267">
        <v>76</v>
      </c>
      <c r="H267" s="2">
        <v>-0.14144736842105299</v>
      </c>
      <c r="I267" s="3">
        <f>(Query1[[#This Row],[Close]]-E266)/E266</f>
        <v>1.556420233463035E-2</v>
      </c>
    </row>
    <row r="268" spans="1:9">
      <c r="A268" s="1">
        <v>44791</v>
      </c>
      <c r="B268">
        <v>65.599999999999994</v>
      </c>
      <c r="C268">
        <v>69.25</v>
      </c>
      <c r="D268">
        <v>65</v>
      </c>
      <c r="E268">
        <v>67.099999999999994</v>
      </c>
      <c r="F268">
        <v>303566800</v>
      </c>
      <c r="G268">
        <v>76</v>
      </c>
      <c r="H268" s="2">
        <v>-0.117105263157895</v>
      </c>
      <c r="I268" s="3">
        <f>(Query1[[#This Row],[Close]]-E267)/E267</f>
        <v>2.835249042145585E-2</v>
      </c>
    </row>
    <row r="269" spans="1:9">
      <c r="A269" s="1">
        <v>44792</v>
      </c>
      <c r="B269">
        <v>67.400000000000006</v>
      </c>
      <c r="C269">
        <v>68.25</v>
      </c>
      <c r="D269">
        <v>60.15</v>
      </c>
      <c r="E269">
        <v>61.45</v>
      </c>
      <c r="F269">
        <v>295737700</v>
      </c>
      <c r="G269">
        <v>76</v>
      </c>
      <c r="H269" s="2">
        <v>-0.191447368421053</v>
      </c>
      <c r="I269" s="3">
        <f>(Query1[[#This Row],[Close]]-E268)/E268</f>
        <v>-8.4202682563338183E-2</v>
      </c>
    </row>
    <row r="270" spans="1:9">
      <c r="A270" s="1">
        <v>44795</v>
      </c>
      <c r="B270">
        <v>61</v>
      </c>
      <c r="C270">
        <v>62.85</v>
      </c>
      <c r="D270">
        <v>59.25</v>
      </c>
      <c r="E270">
        <v>62</v>
      </c>
      <c r="F270">
        <v>226773000</v>
      </c>
      <c r="G270">
        <v>76</v>
      </c>
      <c r="H270" s="2">
        <v>-0.18421052631578899</v>
      </c>
      <c r="I270" s="3">
        <f>(Query1[[#This Row],[Close]]-E269)/E269</f>
        <v>8.9503661513425075E-3</v>
      </c>
    </row>
    <row r="271" spans="1:9">
      <c r="A271" s="1">
        <v>44796</v>
      </c>
      <c r="B271">
        <v>62.3</v>
      </c>
      <c r="C271">
        <v>65.25</v>
      </c>
      <c r="D271">
        <v>62.15</v>
      </c>
      <c r="E271">
        <v>64.45</v>
      </c>
      <c r="F271">
        <v>218585100</v>
      </c>
      <c r="G271">
        <v>76</v>
      </c>
      <c r="H271" s="2">
        <v>-0.15197368421052601</v>
      </c>
      <c r="I271" s="3">
        <f>(Query1[[#This Row],[Close]]-E270)/E270</f>
        <v>3.951612903225811E-2</v>
      </c>
    </row>
    <row r="272" spans="1:9">
      <c r="A272" s="1">
        <v>44797</v>
      </c>
      <c r="B272">
        <v>64.099999999999994</v>
      </c>
      <c r="C272">
        <v>64.2</v>
      </c>
      <c r="D272">
        <v>61.7</v>
      </c>
      <c r="E272">
        <v>62.2</v>
      </c>
      <c r="F272">
        <v>116401000</v>
      </c>
      <c r="G272">
        <v>76</v>
      </c>
      <c r="H272" s="2">
        <v>-0.18157894736842101</v>
      </c>
      <c r="I272" s="3">
        <f>(Query1[[#This Row],[Close]]-E271)/E271</f>
        <v>-3.4910783553141971E-2</v>
      </c>
    </row>
    <row r="273" spans="1:9">
      <c r="A273" s="1">
        <v>44798</v>
      </c>
      <c r="B273">
        <v>62.8</v>
      </c>
      <c r="C273">
        <v>63.2</v>
      </c>
      <c r="D273">
        <v>61.65</v>
      </c>
      <c r="E273">
        <v>62.1</v>
      </c>
      <c r="F273">
        <v>81137100</v>
      </c>
      <c r="G273">
        <v>76</v>
      </c>
      <c r="H273" s="2">
        <v>-0.182894736842105</v>
      </c>
      <c r="I273" s="3">
        <f>(Query1[[#This Row],[Close]]-E272)/E272</f>
        <v>-1.6077170418006658E-3</v>
      </c>
    </row>
    <row r="274" spans="1:9">
      <c r="A274" s="1">
        <v>44799</v>
      </c>
      <c r="B274">
        <v>62.4</v>
      </c>
      <c r="C274">
        <v>62.7</v>
      </c>
      <c r="D274">
        <v>60.55</v>
      </c>
      <c r="E274">
        <v>61.85</v>
      </c>
      <c r="F274">
        <v>87939030</v>
      </c>
      <c r="G274">
        <v>76</v>
      </c>
      <c r="H274" s="2">
        <v>-0.18618421052631601</v>
      </c>
      <c r="I274" s="3">
        <f>(Query1[[#This Row],[Close]]-E273)/E273</f>
        <v>-4.0257648953301124E-3</v>
      </c>
    </row>
    <row r="275" spans="1:9">
      <c r="A275" s="1">
        <v>44802</v>
      </c>
      <c r="B275">
        <v>59.7</v>
      </c>
      <c r="C275">
        <v>60.55</v>
      </c>
      <c r="D275">
        <v>58.35</v>
      </c>
      <c r="E275">
        <v>59.2</v>
      </c>
      <c r="F275">
        <v>98493340</v>
      </c>
      <c r="G275">
        <v>76</v>
      </c>
      <c r="H275" s="2">
        <v>-0.221052631578947</v>
      </c>
      <c r="I275" s="3">
        <f>(Query1[[#This Row],[Close]]-E274)/E274</f>
        <v>-4.2845594179466429E-2</v>
      </c>
    </row>
    <row r="276" spans="1:9">
      <c r="A276" s="1">
        <v>44803</v>
      </c>
      <c r="B276">
        <v>60.2</v>
      </c>
      <c r="C276">
        <v>61.25</v>
      </c>
      <c r="D276">
        <v>57.3</v>
      </c>
      <c r="E276">
        <v>57.95</v>
      </c>
      <c r="F276">
        <v>162054000</v>
      </c>
      <c r="G276">
        <v>76</v>
      </c>
      <c r="H276" s="2">
        <v>-0.23749999999999999</v>
      </c>
      <c r="I276" s="3">
        <f>(Query1[[#This Row],[Close]]-E275)/E275</f>
        <v>-2.1114864864864864E-2</v>
      </c>
    </row>
    <row r="277" spans="1:9">
      <c r="A277" s="1">
        <v>44805</v>
      </c>
      <c r="B277">
        <v>58.7</v>
      </c>
      <c r="C277">
        <v>63.15</v>
      </c>
      <c r="D277">
        <v>58.25</v>
      </c>
      <c r="E277">
        <v>62.45</v>
      </c>
      <c r="F277">
        <v>192477800</v>
      </c>
      <c r="G277">
        <v>76</v>
      </c>
      <c r="H277" s="2">
        <v>-0.17828947368421</v>
      </c>
      <c r="I277" s="3">
        <f>(Query1[[#This Row],[Close]]-E276)/E276</f>
        <v>7.7653149266609142E-2</v>
      </c>
    </row>
    <row r="278" spans="1:9">
      <c r="A278" s="1">
        <v>44806</v>
      </c>
      <c r="B278">
        <v>63.4</v>
      </c>
      <c r="C278">
        <v>63.4</v>
      </c>
      <c r="D278">
        <v>59.4</v>
      </c>
      <c r="E278">
        <v>59.75</v>
      </c>
      <c r="F278">
        <v>137946700</v>
      </c>
      <c r="G278">
        <v>76</v>
      </c>
      <c r="H278" s="2">
        <v>-0.21381578947368399</v>
      </c>
      <c r="I278" s="3">
        <f>(Query1[[#This Row],[Close]]-E277)/E277</f>
        <v>-4.3234587670136153E-2</v>
      </c>
    </row>
    <row r="279" spans="1:9">
      <c r="A279" s="1">
        <v>44809</v>
      </c>
      <c r="B279">
        <v>60.45</v>
      </c>
      <c r="C279">
        <v>60.8</v>
      </c>
      <c r="D279">
        <v>59.3</v>
      </c>
      <c r="E279">
        <v>59.65</v>
      </c>
      <c r="F279">
        <v>84539040</v>
      </c>
      <c r="G279">
        <v>76</v>
      </c>
      <c r="H279" s="2">
        <v>-0.21513157894736801</v>
      </c>
      <c r="I279" s="3">
        <f>(Query1[[#This Row],[Close]]-E278)/E278</f>
        <v>-1.6736401673640405E-3</v>
      </c>
    </row>
    <row r="280" spans="1:9">
      <c r="A280" s="1">
        <v>44810</v>
      </c>
      <c r="B280">
        <v>60.3</v>
      </c>
      <c r="C280">
        <v>60.8</v>
      </c>
      <c r="D280">
        <v>59.4</v>
      </c>
      <c r="E280">
        <v>59.7</v>
      </c>
      <c r="F280">
        <v>70186630</v>
      </c>
      <c r="G280">
        <v>76</v>
      </c>
      <c r="H280" s="2">
        <v>-0.21447368421052601</v>
      </c>
      <c r="I280" s="3">
        <f>(Query1[[#This Row],[Close]]-E279)/E279</f>
        <v>8.3822296730937573E-4</v>
      </c>
    </row>
    <row r="281" spans="1:9">
      <c r="A281" s="1">
        <v>44811</v>
      </c>
      <c r="B281">
        <v>59.65</v>
      </c>
      <c r="C281">
        <v>60.4</v>
      </c>
      <c r="D281">
        <v>59.2</v>
      </c>
      <c r="E281">
        <v>59.5</v>
      </c>
      <c r="F281">
        <v>59843730</v>
      </c>
      <c r="G281">
        <v>76</v>
      </c>
      <c r="H281" s="2">
        <v>-0.217105263157895</v>
      </c>
      <c r="I281" s="3">
        <f>(Query1[[#This Row],[Close]]-E280)/E280</f>
        <v>-3.3500837520938497E-3</v>
      </c>
    </row>
    <row r="282" spans="1:9">
      <c r="A282" s="1">
        <v>44812</v>
      </c>
      <c r="B282">
        <v>60.35</v>
      </c>
      <c r="C282">
        <v>62.5</v>
      </c>
      <c r="D282">
        <v>59.8</v>
      </c>
      <c r="E282">
        <v>61.35</v>
      </c>
      <c r="F282">
        <v>128430000</v>
      </c>
      <c r="G282">
        <v>76</v>
      </c>
      <c r="H282" s="2">
        <v>-0.192763157894737</v>
      </c>
      <c r="I282" s="3">
        <f>(Query1[[#This Row],[Close]]-E281)/E281</f>
        <v>3.1092436974789941E-2</v>
      </c>
    </row>
    <row r="283" spans="1:9">
      <c r="A283" s="1">
        <v>44813</v>
      </c>
      <c r="B283">
        <v>62</v>
      </c>
      <c r="C283">
        <v>63.65</v>
      </c>
      <c r="D283">
        <v>62</v>
      </c>
      <c r="E283">
        <v>62.8</v>
      </c>
      <c r="F283">
        <v>139369400</v>
      </c>
      <c r="G283">
        <v>76</v>
      </c>
      <c r="H283" s="2">
        <v>-0.173684210526316</v>
      </c>
      <c r="I283" s="3">
        <f>(Query1[[#This Row],[Close]]-E282)/E282</f>
        <v>2.3634881825590801E-2</v>
      </c>
    </row>
    <row r="284" spans="1:9">
      <c r="A284" s="1">
        <v>44816</v>
      </c>
      <c r="B284">
        <v>63</v>
      </c>
      <c r="C284">
        <v>63.2</v>
      </c>
      <c r="D284">
        <v>62.25</v>
      </c>
      <c r="E284">
        <v>62.55</v>
      </c>
      <c r="F284">
        <v>64044340</v>
      </c>
      <c r="G284">
        <v>76</v>
      </c>
      <c r="H284" s="2">
        <v>-0.17697368421052601</v>
      </c>
      <c r="I284" s="3">
        <f>(Query1[[#This Row],[Close]]-E283)/E283</f>
        <v>-3.9808917197452229E-3</v>
      </c>
    </row>
    <row r="285" spans="1:9">
      <c r="A285" s="1">
        <v>44817</v>
      </c>
      <c r="B285">
        <v>63</v>
      </c>
      <c r="C285">
        <v>66.599999999999994</v>
      </c>
      <c r="D285">
        <v>62.8</v>
      </c>
      <c r="E285">
        <v>65.45</v>
      </c>
      <c r="F285">
        <v>199032700</v>
      </c>
      <c r="G285">
        <v>76</v>
      </c>
      <c r="H285" s="2">
        <v>-0.138815789473684</v>
      </c>
      <c r="I285" s="3">
        <f>(Query1[[#This Row],[Close]]-E284)/E284</f>
        <v>4.6362909672262281E-2</v>
      </c>
    </row>
    <row r="286" spans="1:9">
      <c r="A286" s="1">
        <v>44818</v>
      </c>
      <c r="B286">
        <v>64.05</v>
      </c>
      <c r="C286">
        <v>65.150000000000006</v>
      </c>
      <c r="D286">
        <v>62.75</v>
      </c>
      <c r="E286">
        <v>63.3</v>
      </c>
      <c r="F286">
        <v>119824300</v>
      </c>
      <c r="G286">
        <v>76</v>
      </c>
      <c r="H286" s="2">
        <v>-0.16710526315789501</v>
      </c>
      <c r="I286" s="3">
        <f>(Query1[[#This Row],[Close]]-E285)/E285</f>
        <v>-3.284950343773882E-2</v>
      </c>
    </row>
    <row r="287" spans="1:9">
      <c r="A287" s="1">
        <v>44819</v>
      </c>
      <c r="B287">
        <v>64</v>
      </c>
      <c r="C287">
        <v>64.900000000000006</v>
      </c>
      <c r="D287">
        <v>63.3</v>
      </c>
      <c r="E287">
        <v>64.599999999999994</v>
      </c>
      <c r="F287">
        <v>88185940</v>
      </c>
      <c r="G287">
        <v>76</v>
      </c>
      <c r="H287" s="2">
        <v>-0.15</v>
      </c>
      <c r="I287" s="3">
        <f>(Query1[[#This Row],[Close]]-E286)/E286</f>
        <v>2.0537124802527604E-2</v>
      </c>
    </row>
    <row r="288" spans="1:9">
      <c r="A288" s="1">
        <v>44820</v>
      </c>
      <c r="B288">
        <v>64.400000000000006</v>
      </c>
      <c r="C288">
        <v>65</v>
      </c>
      <c r="D288">
        <v>61.1</v>
      </c>
      <c r="E288">
        <v>63.2</v>
      </c>
      <c r="F288">
        <v>196537400</v>
      </c>
      <c r="G288">
        <v>76</v>
      </c>
      <c r="H288" s="2">
        <v>-0.168421052631579</v>
      </c>
      <c r="I288" s="3">
        <f>(Query1[[#This Row],[Close]]-E287)/E287</f>
        <v>-2.1671826625386865E-2</v>
      </c>
    </row>
    <row r="289" spans="1:9">
      <c r="A289" s="1">
        <v>44823</v>
      </c>
      <c r="B289">
        <v>64.2</v>
      </c>
      <c r="C289">
        <v>65.45</v>
      </c>
      <c r="D289">
        <v>63.45</v>
      </c>
      <c r="E289">
        <v>63.95</v>
      </c>
      <c r="F289">
        <v>70453100</v>
      </c>
      <c r="G289">
        <v>76</v>
      </c>
      <c r="H289" s="2">
        <v>-0.158552631578947</v>
      </c>
      <c r="I289" s="3">
        <f>(Query1[[#This Row],[Close]]-E288)/E288</f>
        <v>1.1867088607594936E-2</v>
      </c>
    </row>
    <row r="290" spans="1:9">
      <c r="A290" s="1">
        <v>44824</v>
      </c>
      <c r="B290">
        <v>64.900000000000006</v>
      </c>
      <c r="C290">
        <v>65.7</v>
      </c>
      <c r="D290">
        <v>62.4</v>
      </c>
      <c r="E290">
        <v>62.85</v>
      </c>
      <c r="F290">
        <v>77904810</v>
      </c>
      <c r="G290">
        <v>76</v>
      </c>
      <c r="H290" s="2">
        <v>-0.173026315789474</v>
      </c>
      <c r="I290" s="3">
        <f>(Query1[[#This Row],[Close]]-E289)/E289</f>
        <v>-1.720093823299455E-2</v>
      </c>
    </row>
    <row r="291" spans="1:9">
      <c r="A291" s="1">
        <v>44825</v>
      </c>
      <c r="B291">
        <v>63.3</v>
      </c>
      <c r="C291">
        <v>63.95</v>
      </c>
      <c r="D291">
        <v>62.4</v>
      </c>
      <c r="E291">
        <v>63.45</v>
      </c>
      <c r="F291">
        <v>59131990</v>
      </c>
      <c r="G291">
        <v>76</v>
      </c>
      <c r="H291" s="2">
        <v>-0.16513157894736799</v>
      </c>
      <c r="I291" s="3">
        <f>(Query1[[#This Row],[Close]]-E290)/E290</f>
        <v>9.5465393794749633E-3</v>
      </c>
    </row>
    <row r="292" spans="1:9">
      <c r="A292" s="1">
        <v>44826</v>
      </c>
      <c r="B292">
        <v>62.9</v>
      </c>
      <c r="C292">
        <v>63.75</v>
      </c>
      <c r="D292">
        <v>62.6</v>
      </c>
      <c r="E292">
        <v>63.3</v>
      </c>
      <c r="F292">
        <v>34716570</v>
      </c>
      <c r="G292">
        <v>76</v>
      </c>
      <c r="H292" s="2">
        <v>-0.16710526315789501</v>
      </c>
      <c r="I292" s="3">
        <f>(Query1[[#This Row],[Close]]-E291)/E291</f>
        <v>-2.3640661938535172E-3</v>
      </c>
    </row>
    <row r="293" spans="1:9">
      <c r="A293" s="1">
        <v>44827</v>
      </c>
      <c r="B293">
        <v>63</v>
      </c>
      <c r="C293">
        <v>63.35</v>
      </c>
      <c r="D293">
        <v>60.4</v>
      </c>
      <c r="E293">
        <v>60.8</v>
      </c>
      <c r="F293">
        <v>56730280</v>
      </c>
      <c r="G293">
        <v>76</v>
      </c>
      <c r="H293" s="2">
        <v>-0.2</v>
      </c>
      <c r="I293" s="3">
        <f>(Query1[[#This Row],[Close]]-E292)/E292</f>
        <v>-3.9494470774091628E-2</v>
      </c>
    </row>
    <row r="294" spans="1:9">
      <c r="A294" s="1">
        <v>44830</v>
      </c>
      <c r="B294">
        <v>60</v>
      </c>
      <c r="C294">
        <v>60.65</v>
      </c>
      <c r="D294">
        <v>57.4</v>
      </c>
      <c r="E294">
        <v>57.8</v>
      </c>
      <c r="F294">
        <v>65832870</v>
      </c>
      <c r="G294">
        <v>76</v>
      </c>
      <c r="H294" s="2">
        <v>-0.23947368421052601</v>
      </c>
      <c r="I294" s="3">
        <f>(Query1[[#This Row],[Close]]-E293)/E293</f>
        <v>-4.9342105263157895E-2</v>
      </c>
    </row>
    <row r="295" spans="1:9">
      <c r="A295" s="1">
        <v>44831</v>
      </c>
      <c r="B295">
        <v>58.15</v>
      </c>
      <c r="C295">
        <v>59.75</v>
      </c>
      <c r="D295">
        <v>56.95</v>
      </c>
      <c r="E295">
        <v>58.85</v>
      </c>
      <c r="F295">
        <v>79641870</v>
      </c>
      <c r="G295">
        <v>76</v>
      </c>
      <c r="H295" s="2">
        <v>-0.225657894736842</v>
      </c>
      <c r="I295" s="3">
        <f>(Query1[[#This Row],[Close]]-E294)/E294</f>
        <v>1.8166089965397998E-2</v>
      </c>
    </row>
    <row r="296" spans="1:9">
      <c r="A296" s="1">
        <v>44832</v>
      </c>
      <c r="B296">
        <v>57.8</v>
      </c>
      <c r="C296">
        <v>59.25</v>
      </c>
      <c r="D296">
        <v>57.5</v>
      </c>
      <c r="E296">
        <v>58.05</v>
      </c>
      <c r="F296">
        <v>64334020</v>
      </c>
      <c r="G296">
        <v>76</v>
      </c>
      <c r="H296" s="2">
        <v>-0.236184210526316</v>
      </c>
      <c r="I296" s="3">
        <f>(Query1[[#This Row],[Close]]-E295)/E295</f>
        <v>-1.3593882752761329E-2</v>
      </c>
    </row>
    <row r="297" spans="1:9">
      <c r="A297" s="1">
        <v>44833</v>
      </c>
      <c r="B297">
        <v>59.2</v>
      </c>
      <c r="C297">
        <v>62</v>
      </c>
      <c r="D297">
        <v>58.9</v>
      </c>
      <c r="E297">
        <v>61.2</v>
      </c>
      <c r="F297">
        <v>76969690</v>
      </c>
      <c r="G297">
        <v>76</v>
      </c>
      <c r="H297" s="2">
        <v>-0.19473684210526301</v>
      </c>
      <c r="I297" s="3">
        <f>(Query1[[#This Row],[Close]]-E296)/E296</f>
        <v>5.4263565891472972E-2</v>
      </c>
    </row>
    <row r="298" spans="1:9">
      <c r="A298" s="1">
        <v>44834</v>
      </c>
      <c r="B298">
        <v>61.5</v>
      </c>
      <c r="C298">
        <v>62.85</v>
      </c>
      <c r="D298">
        <v>59.75</v>
      </c>
      <c r="E298">
        <v>62.35</v>
      </c>
      <c r="F298">
        <v>71494890</v>
      </c>
      <c r="G298">
        <v>76</v>
      </c>
      <c r="H298" s="2">
        <v>-0.17960526315789499</v>
      </c>
      <c r="I298" s="3">
        <f>(Query1[[#This Row],[Close]]-E297)/E297</f>
        <v>1.8790849673202589E-2</v>
      </c>
    </row>
    <row r="299" spans="1:9">
      <c r="A299" s="1">
        <v>44837</v>
      </c>
      <c r="B299">
        <v>62</v>
      </c>
      <c r="C299">
        <v>63.1</v>
      </c>
      <c r="D299">
        <v>61.2</v>
      </c>
      <c r="E299">
        <v>61.9</v>
      </c>
      <c r="F299">
        <v>44528870</v>
      </c>
      <c r="G299">
        <v>76</v>
      </c>
      <c r="H299" s="2">
        <v>-0.18552631578947401</v>
      </c>
      <c r="I299" s="3">
        <f>(Query1[[#This Row],[Close]]-E298)/E298</f>
        <v>-7.2173215717722984E-3</v>
      </c>
    </row>
    <row r="300" spans="1:9">
      <c r="A300" s="1">
        <v>44838</v>
      </c>
      <c r="B300">
        <v>63.1</v>
      </c>
      <c r="C300">
        <v>64.45</v>
      </c>
      <c r="D300">
        <v>63</v>
      </c>
      <c r="E300">
        <v>64.05</v>
      </c>
      <c r="F300">
        <v>47077000</v>
      </c>
      <c r="G300">
        <v>76</v>
      </c>
      <c r="H300" s="2">
        <v>-0.15723684210526301</v>
      </c>
      <c r="I300" s="3">
        <f>(Query1[[#This Row],[Close]]-E299)/E299</f>
        <v>3.4733441033925665E-2</v>
      </c>
    </row>
    <row r="301" spans="1:9">
      <c r="A301" s="1">
        <v>44840</v>
      </c>
      <c r="B301">
        <v>64.400000000000006</v>
      </c>
      <c r="C301">
        <v>66.150000000000006</v>
      </c>
      <c r="D301">
        <v>64.25</v>
      </c>
      <c r="E301">
        <v>65.55</v>
      </c>
      <c r="F301">
        <v>59866070</v>
      </c>
      <c r="G301">
        <v>76</v>
      </c>
      <c r="H301" s="2">
        <v>-0.13750000000000001</v>
      </c>
      <c r="I301" s="3">
        <f>(Query1[[#This Row],[Close]]-E300)/E300</f>
        <v>2.3419203747072601E-2</v>
      </c>
    </row>
    <row r="302" spans="1:9">
      <c r="A302" s="1">
        <v>44841</v>
      </c>
      <c r="B302">
        <v>65.150000000000006</v>
      </c>
      <c r="C302">
        <v>70.2</v>
      </c>
      <c r="D302">
        <v>64.599999999999994</v>
      </c>
      <c r="E302">
        <v>69.55</v>
      </c>
      <c r="F302">
        <v>170879500</v>
      </c>
      <c r="G302">
        <v>76</v>
      </c>
      <c r="H302" s="2">
        <v>-8.4868421052631607E-2</v>
      </c>
      <c r="I302" s="3">
        <f>(Query1[[#This Row],[Close]]-E301)/E301</f>
        <v>6.1022120518688029E-2</v>
      </c>
    </row>
    <row r="303" spans="1:9">
      <c r="A303" s="1">
        <v>44844</v>
      </c>
      <c r="B303">
        <v>68.400000000000006</v>
      </c>
      <c r="C303">
        <v>69.7</v>
      </c>
      <c r="D303">
        <v>67.5</v>
      </c>
      <c r="E303">
        <v>68.7</v>
      </c>
      <c r="F303">
        <v>87158480</v>
      </c>
      <c r="G303">
        <v>76</v>
      </c>
      <c r="H303" s="2">
        <v>-9.6052631578947306E-2</v>
      </c>
      <c r="I303" s="3">
        <f>(Query1[[#This Row],[Close]]-E302)/E302</f>
        <v>-1.2221423436376626E-2</v>
      </c>
    </row>
    <row r="304" spans="1:9">
      <c r="A304" s="1">
        <v>44845</v>
      </c>
      <c r="B304">
        <v>68.400000000000006</v>
      </c>
      <c r="C304">
        <v>69.2</v>
      </c>
      <c r="D304">
        <v>65</v>
      </c>
      <c r="E304">
        <v>65.55</v>
      </c>
      <c r="F304">
        <v>70171060</v>
      </c>
      <c r="G304">
        <v>76</v>
      </c>
      <c r="H304" s="2">
        <v>-0.13750000000000001</v>
      </c>
      <c r="I304" s="3">
        <f>(Query1[[#This Row],[Close]]-E303)/E303</f>
        <v>-4.5851528384279555E-2</v>
      </c>
    </row>
    <row r="305" spans="1:9">
      <c r="A305" s="1">
        <v>44846</v>
      </c>
      <c r="B305">
        <v>65.650000000000006</v>
      </c>
      <c r="C305">
        <v>66.45</v>
      </c>
      <c r="D305">
        <v>63.05</v>
      </c>
      <c r="E305">
        <v>63.75</v>
      </c>
      <c r="F305">
        <v>67799710</v>
      </c>
      <c r="G305">
        <v>76</v>
      </c>
      <c r="H305" s="2">
        <v>-0.16118421052631601</v>
      </c>
      <c r="I305" s="3">
        <f>(Query1[[#This Row],[Close]]-E304)/E304</f>
        <v>-2.7459954233409568E-2</v>
      </c>
    </row>
    <row r="306" spans="1:9">
      <c r="A306" s="1">
        <v>44847</v>
      </c>
      <c r="B306">
        <v>64.099999999999994</v>
      </c>
      <c r="C306">
        <v>64.650000000000006</v>
      </c>
      <c r="D306">
        <v>61</v>
      </c>
      <c r="E306">
        <v>61.25</v>
      </c>
      <c r="F306">
        <v>73750800</v>
      </c>
      <c r="G306">
        <v>76</v>
      </c>
      <c r="H306" s="2">
        <v>-0.19407894736842099</v>
      </c>
      <c r="I306" s="3">
        <f>(Query1[[#This Row],[Close]]-E305)/E305</f>
        <v>-3.9215686274509803E-2</v>
      </c>
    </row>
    <row r="307" spans="1:9">
      <c r="A307" s="1">
        <v>44848</v>
      </c>
      <c r="B307">
        <v>63</v>
      </c>
      <c r="C307">
        <v>64.150000000000006</v>
      </c>
      <c r="D307">
        <v>61.6</v>
      </c>
      <c r="E307">
        <v>61.9</v>
      </c>
      <c r="F307">
        <v>85139330</v>
      </c>
      <c r="G307">
        <v>76</v>
      </c>
      <c r="H307" s="2">
        <v>-0.18552631578947401</v>
      </c>
      <c r="I307" s="3">
        <f>(Query1[[#This Row],[Close]]-E306)/E306</f>
        <v>1.061224489795916E-2</v>
      </c>
    </row>
    <row r="308" spans="1:9">
      <c r="A308" s="1">
        <v>44851</v>
      </c>
      <c r="B308">
        <v>61.9</v>
      </c>
      <c r="C308">
        <v>63.25</v>
      </c>
      <c r="D308">
        <v>61.15</v>
      </c>
      <c r="E308">
        <v>62.65</v>
      </c>
      <c r="F308">
        <v>56007730</v>
      </c>
      <c r="G308">
        <v>76</v>
      </c>
      <c r="H308" s="2">
        <v>-0.17565789473684201</v>
      </c>
      <c r="I308" s="3">
        <f>(Query1[[#This Row],[Close]]-E307)/E307</f>
        <v>1.2116316639741519E-2</v>
      </c>
    </row>
    <row r="309" spans="1:9">
      <c r="A309" s="1">
        <v>44852</v>
      </c>
      <c r="B309">
        <v>63.65</v>
      </c>
      <c r="C309">
        <v>64.400000000000006</v>
      </c>
      <c r="D309">
        <v>62.75</v>
      </c>
      <c r="E309">
        <v>63</v>
      </c>
      <c r="F309">
        <v>49431270</v>
      </c>
      <c r="G309">
        <v>76</v>
      </c>
      <c r="H309" s="2">
        <v>-0.17105263157894701</v>
      </c>
      <c r="I309" s="3">
        <f>(Query1[[#This Row],[Close]]-E308)/E308</f>
        <v>5.5865921787709725E-3</v>
      </c>
    </row>
    <row r="310" spans="1:9">
      <c r="A310" s="1">
        <v>44853</v>
      </c>
      <c r="B310">
        <v>63.4</v>
      </c>
      <c r="C310">
        <v>63.7</v>
      </c>
      <c r="D310">
        <v>61.5</v>
      </c>
      <c r="E310">
        <v>62.05</v>
      </c>
      <c r="F310">
        <v>52638790</v>
      </c>
      <c r="G310">
        <v>76</v>
      </c>
      <c r="H310" s="2">
        <v>-0.183552631578947</v>
      </c>
      <c r="I310" s="3">
        <f>(Query1[[#This Row],[Close]]-E309)/E309</f>
        <v>-1.5079365079365125E-2</v>
      </c>
    </row>
    <row r="311" spans="1:9">
      <c r="A311" s="1">
        <v>44854</v>
      </c>
      <c r="B311">
        <v>61.7</v>
      </c>
      <c r="C311">
        <v>62</v>
      </c>
      <c r="D311">
        <v>60.85</v>
      </c>
      <c r="E311">
        <v>61.3</v>
      </c>
      <c r="F311">
        <v>57513130</v>
      </c>
      <c r="G311">
        <v>76</v>
      </c>
      <c r="H311" s="2">
        <v>-0.19342105263157899</v>
      </c>
      <c r="I311" s="3">
        <f>(Query1[[#This Row],[Close]]-E310)/E310</f>
        <v>-1.2087026591458501E-2</v>
      </c>
    </row>
    <row r="312" spans="1:9">
      <c r="A312" s="1">
        <v>44855</v>
      </c>
      <c r="B312">
        <v>61.8</v>
      </c>
      <c r="C312">
        <v>63.2</v>
      </c>
      <c r="D312">
        <v>61.3</v>
      </c>
      <c r="E312">
        <v>61.8</v>
      </c>
      <c r="F312">
        <v>65825880</v>
      </c>
      <c r="G312">
        <v>76</v>
      </c>
      <c r="H312" s="2">
        <v>-0.186842105263158</v>
      </c>
      <c r="I312" s="3">
        <f>(Query1[[#This Row],[Close]]-E311)/E311</f>
        <v>8.1566068515497563E-3</v>
      </c>
    </row>
    <row r="313" spans="1:9">
      <c r="A313" s="1">
        <v>44858</v>
      </c>
      <c r="B313">
        <v>62.9</v>
      </c>
      <c r="C313">
        <v>62.95</v>
      </c>
      <c r="D313">
        <v>62.05</v>
      </c>
      <c r="E313">
        <v>62.35</v>
      </c>
      <c r="F313">
        <v>7775480</v>
      </c>
      <c r="G313">
        <v>76</v>
      </c>
      <c r="H313" s="2">
        <v>-0.17960526315789499</v>
      </c>
      <c r="I313" s="3">
        <f>(Query1[[#This Row],[Close]]-E312)/E312</f>
        <v>8.8996763754046002E-3</v>
      </c>
    </row>
    <row r="314" spans="1:9">
      <c r="A314" s="1">
        <v>44859</v>
      </c>
      <c r="B314">
        <v>62.7</v>
      </c>
      <c r="C314">
        <v>64.900000000000006</v>
      </c>
      <c r="D314">
        <v>62.4</v>
      </c>
      <c r="E314">
        <v>64.599999999999994</v>
      </c>
      <c r="F314">
        <v>81043490</v>
      </c>
      <c r="G314">
        <v>76</v>
      </c>
      <c r="H314" s="2">
        <v>-0.15</v>
      </c>
      <c r="I314" s="3">
        <f>(Query1[[#This Row],[Close]]-E313)/E313</f>
        <v>3.6086607858861156E-2</v>
      </c>
    </row>
    <row r="315" spans="1:9">
      <c r="A315" s="1">
        <v>44861</v>
      </c>
      <c r="B315">
        <v>64.099999999999994</v>
      </c>
      <c r="C315">
        <v>65.650000000000006</v>
      </c>
      <c r="D315">
        <v>63.5</v>
      </c>
      <c r="E315">
        <v>65.099999999999994</v>
      </c>
      <c r="F315">
        <v>64853360</v>
      </c>
      <c r="G315">
        <v>76</v>
      </c>
      <c r="H315" s="2">
        <v>-0.143421052631579</v>
      </c>
      <c r="I315" s="3">
        <f>(Query1[[#This Row],[Close]]-E314)/E314</f>
        <v>7.7399380804953569E-3</v>
      </c>
    </row>
    <row r="316" spans="1:9">
      <c r="A316" s="1">
        <v>44862</v>
      </c>
      <c r="B316">
        <v>65.25</v>
      </c>
      <c r="C316">
        <v>65.7</v>
      </c>
      <c r="D316">
        <v>62.3</v>
      </c>
      <c r="E316">
        <v>62.6</v>
      </c>
      <c r="F316">
        <v>56787300</v>
      </c>
      <c r="G316">
        <v>76</v>
      </c>
      <c r="H316" s="2">
        <v>-0.17631578947368401</v>
      </c>
      <c r="I316" s="3">
        <f>(Query1[[#This Row],[Close]]-E315)/E315</f>
        <v>-3.8402457757296359E-2</v>
      </c>
    </row>
    <row r="317" spans="1:9">
      <c r="A317" s="1">
        <v>44865</v>
      </c>
      <c r="B317">
        <v>63.6</v>
      </c>
      <c r="C317">
        <v>63.85</v>
      </c>
      <c r="D317">
        <v>62.1</v>
      </c>
      <c r="E317">
        <v>63.1</v>
      </c>
      <c r="F317">
        <v>45949860</v>
      </c>
      <c r="G317">
        <v>76</v>
      </c>
      <c r="H317" s="2">
        <v>-0.16973684210526299</v>
      </c>
      <c r="I317" s="3">
        <f>(Query1[[#This Row],[Close]]-E316)/E316</f>
        <v>7.9872204472843447E-3</v>
      </c>
    </row>
    <row r="318" spans="1:9">
      <c r="A318" s="1">
        <v>44866</v>
      </c>
      <c r="B318">
        <v>63.5</v>
      </c>
      <c r="C318">
        <v>63.75</v>
      </c>
      <c r="D318">
        <v>62.7</v>
      </c>
      <c r="E318">
        <v>63.5</v>
      </c>
      <c r="F318">
        <v>50425920</v>
      </c>
      <c r="G318">
        <v>76</v>
      </c>
      <c r="H318" s="2">
        <v>-0.16447368421052599</v>
      </c>
      <c r="I318" s="3">
        <f>(Query1[[#This Row],[Close]]-E317)/E317</f>
        <v>6.339144215530881E-3</v>
      </c>
    </row>
    <row r="319" spans="1:9">
      <c r="A319" s="1">
        <v>44867</v>
      </c>
      <c r="B319">
        <v>63.75</v>
      </c>
      <c r="C319">
        <v>64.7</v>
      </c>
      <c r="D319">
        <v>62.7</v>
      </c>
      <c r="E319">
        <v>63</v>
      </c>
      <c r="F319">
        <v>52915030</v>
      </c>
      <c r="G319">
        <v>76</v>
      </c>
      <c r="H319" s="2">
        <v>-0.17105263157894701</v>
      </c>
      <c r="I319" s="3">
        <f>(Query1[[#This Row],[Close]]-E318)/E318</f>
        <v>-7.874015748031496E-3</v>
      </c>
    </row>
    <row r="320" spans="1:9">
      <c r="A320" s="1">
        <v>44868</v>
      </c>
      <c r="B320">
        <v>62.8</v>
      </c>
      <c r="C320">
        <v>62.8</v>
      </c>
      <c r="D320">
        <v>62</v>
      </c>
      <c r="E320">
        <v>62.2</v>
      </c>
      <c r="F320">
        <v>31729450</v>
      </c>
      <c r="G320">
        <v>76</v>
      </c>
      <c r="H320" s="2">
        <v>-0.18157894736842101</v>
      </c>
      <c r="I320" s="3">
        <f>(Query1[[#This Row],[Close]]-E319)/E319</f>
        <v>-1.2698412698412653E-2</v>
      </c>
    </row>
    <row r="321" spans="1:9">
      <c r="A321" s="1">
        <v>44869</v>
      </c>
      <c r="B321">
        <v>62.75</v>
      </c>
      <c r="C321">
        <v>63.65</v>
      </c>
      <c r="D321">
        <v>62.45</v>
      </c>
      <c r="E321">
        <v>63</v>
      </c>
      <c r="F321">
        <v>35296900</v>
      </c>
      <c r="G321">
        <v>76</v>
      </c>
      <c r="H321" s="2">
        <v>-0.17105263157894701</v>
      </c>
      <c r="I321" s="3">
        <f>(Query1[[#This Row],[Close]]-E320)/E320</f>
        <v>1.2861736334405098E-2</v>
      </c>
    </row>
    <row r="322" spans="1:9">
      <c r="A322" s="1">
        <v>44872</v>
      </c>
      <c r="B322">
        <v>63.85</v>
      </c>
      <c r="C322">
        <v>65.45</v>
      </c>
      <c r="D322">
        <v>63.25</v>
      </c>
      <c r="E322">
        <v>65.099999999999994</v>
      </c>
      <c r="F322">
        <v>56815390</v>
      </c>
      <c r="G322">
        <v>76</v>
      </c>
      <c r="H322" s="2">
        <v>-0.143421052631579</v>
      </c>
      <c r="I322" s="3">
        <f>(Query1[[#This Row],[Close]]-E321)/E321</f>
        <v>3.3333333333333243E-2</v>
      </c>
    </row>
    <row r="323" spans="1:9">
      <c r="A323" s="1">
        <v>44874</v>
      </c>
      <c r="B323">
        <v>65.45</v>
      </c>
      <c r="C323">
        <v>67.5</v>
      </c>
      <c r="D323">
        <v>65</v>
      </c>
      <c r="E323">
        <v>65.3</v>
      </c>
      <c r="F323">
        <v>87424590</v>
      </c>
      <c r="G323">
        <v>76</v>
      </c>
      <c r="H323" s="2">
        <v>-0.14078947368421099</v>
      </c>
      <c r="I323" s="3">
        <f>(Query1[[#This Row],[Close]]-E322)/E322</f>
        <v>3.0721966205837612E-3</v>
      </c>
    </row>
    <row r="324" spans="1:9">
      <c r="A324" s="1">
        <v>44875</v>
      </c>
      <c r="B324">
        <v>65.5</v>
      </c>
      <c r="C324">
        <v>65.95</v>
      </c>
      <c r="D324">
        <v>63.15</v>
      </c>
      <c r="E324">
        <v>63.95</v>
      </c>
      <c r="F324">
        <v>44332610</v>
      </c>
      <c r="G324">
        <v>76</v>
      </c>
      <c r="H324" s="2">
        <v>-0.158552631578947</v>
      </c>
      <c r="I324" s="3">
        <f>(Query1[[#This Row],[Close]]-E323)/E323</f>
        <v>-2.0673813169984599E-2</v>
      </c>
    </row>
    <row r="325" spans="1:9">
      <c r="A325" s="1">
        <v>44876</v>
      </c>
      <c r="B325">
        <v>66</v>
      </c>
      <c r="C325">
        <v>73.55</v>
      </c>
      <c r="D325">
        <v>65.5</v>
      </c>
      <c r="E325">
        <v>72.8</v>
      </c>
      <c r="F325">
        <v>397758800</v>
      </c>
      <c r="G325">
        <v>76</v>
      </c>
      <c r="H325" s="2">
        <v>-4.2105263157894798E-2</v>
      </c>
      <c r="I325" s="3">
        <f>(Query1[[#This Row],[Close]]-E324)/E324</f>
        <v>0.13838936669272861</v>
      </c>
    </row>
    <row r="326" spans="1:9">
      <c r="A326" s="1">
        <v>44879</v>
      </c>
      <c r="B326">
        <v>74.3</v>
      </c>
      <c r="C326">
        <v>75.45</v>
      </c>
      <c r="D326">
        <v>69.05</v>
      </c>
      <c r="E326">
        <v>69.599999999999994</v>
      </c>
      <c r="F326">
        <v>186727000</v>
      </c>
      <c r="G326">
        <v>76</v>
      </c>
      <c r="H326" s="2">
        <v>-8.4210526315789597E-2</v>
      </c>
      <c r="I326" s="3">
        <f>(Query1[[#This Row],[Close]]-E325)/E325</f>
        <v>-4.3956043956043994E-2</v>
      </c>
    </row>
    <row r="327" spans="1:9">
      <c r="A327" s="1">
        <v>44880</v>
      </c>
      <c r="B327">
        <v>69.599999999999994</v>
      </c>
      <c r="C327">
        <v>71.150000000000006</v>
      </c>
      <c r="D327">
        <v>69.099999999999994</v>
      </c>
      <c r="E327">
        <v>69.95</v>
      </c>
      <c r="F327">
        <v>68397100</v>
      </c>
      <c r="G327">
        <v>76</v>
      </c>
      <c r="H327" s="2">
        <v>-7.9605263157894707E-2</v>
      </c>
      <c r="I327" s="3">
        <f>(Query1[[#This Row],[Close]]-E326)/E326</f>
        <v>5.0287356321840311E-3</v>
      </c>
    </row>
    <row r="328" spans="1:9">
      <c r="A328" s="1">
        <v>44881</v>
      </c>
      <c r="B328">
        <v>69.95</v>
      </c>
      <c r="C328">
        <v>70.5</v>
      </c>
      <c r="D328">
        <v>67.7</v>
      </c>
      <c r="E328">
        <v>68.7</v>
      </c>
      <c r="F328">
        <v>75425520</v>
      </c>
      <c r="G328">
        <v>76</v>
      </c>
      <c r="H328" s="2">
        <v>-9.6052631578947306E-2</v>
      </c>
      <c r="I328" s="3">
        <f>(Query1[[#This Row],[Close]]-E327)/E327</f>
        <v>-1.7869907076483203E-2</v>
      </c>
    </row>
    <row r="329" spans="1:9">
      <c r="A329" s="1">
        <v>44882</v>
      </c>
      <c r="B329">
        <v>68.400000000000006</v>
      </c>
      <c r="C329">
        <v>69.8</v>
      </c>
      <c r="D329">
        <v>67.5</v>
      </c>
      <c r="E329">
        <v>67.7</v>
      </c>
      <c r="F329">
        <v>60115700</v>
      </c>
      <c r="G329">
        <v>76</v>
      </c>
      <c r="H329" s="2">
        <v>-0.10921052631578899</v>
      </c>
      <c r="I329" s="3">
        <f>(Query1[[#This Row],[Close]]-E328)/E328</f>
        <v>-1.4556040756914119E-2</v>
      </c>
    </row>
    <row r="330" spans="1:9">
      <c r="A330" s="1">
        <v>44883</v>
      </c>
      <c r="B330">
        <v>68.150000000000006</v>
      </c>
      <c r="C330">
        <v>69.349999999999994</v>
      </c>
      <c r="D330">
        <v>66.900000000000006</v>
      </c>
      <c r="E330">
        <v>67.150000000000006</v>
      </c>
      <c r="F330">
        <v>62855690</v>
      </c>
      <c r="G330">
        <v>76</v>
      </c>
      <c r="H330" s="2">
        <v>-0.11644736842105299</v>
      </c>
      <c r="I330" s="3">
        <f>(Query1[[#This Row],[Close]]-E329)/E329</f>
        <v>-8.1240768094534288E-3</v>
      </c>
    </row>
    <row r="331" spans="1:9">
      <c r="A331" s="1">
        <v>44886</v>
      </c>
      <c r="B331">
        <v>66.400000000000006</v>
      </c>
      <c r="C331">
        <v>66.400000000000006</v>
      </c>
      <c r="D331">
        <v>63.8</v>
      </c>
      <c r="E331">
        <v>64.3</v>
      </c>
      <c r="F331">
        <v>85998310</v>
      </c>
      <c r="G331">
        <v>76</v>
      </c>
      <c r="H331" s="2">
        <v>-0.153947368421053</v>
      </c>
      <c r="I331" s="3">
        <f>(Query1[[#This Row],[Close]]-E330)/E330</f>
        <v>-4.2442293373045545E-2</v>
      </c>
    </row>
    <row r="332" spans="1:9">
      <c r="A332" s="1">
        <v>44887</v>
      </c>
      <c r="B332">
        <v>64.900000000000006</v>
      </c>
      <c r="C332">
        <v>64.900000000000006</v>
      </c>
      <c r="D332">
        <v>63.3</v>
      </c>
      <c r="E332">
        <v>63.95</v>
      </c>
      <c r="F332">
        <v>50715390</v>
      </c>
      <c r="G332">
        <v>76</v>
      </c>
      <c r="H332" s="2">
        <v>-0.158552631578947</v>
      </c>
      <c r="I332" s="3">
        <f>(Query1[[#This Row],[Close]]-E331)/E331</f>
        <v>-5.4432348367028666E-3</v>
      </c>
    </row>
    <row r="333" spans="1:9">
      <c r="A333" s="1">
        <v>44888</v>
      </c>
      <c r="B333">
        <v>63.5</v>
      </c>
      <c r="C333">
        <v>64.3</v>
      </c>
      <c r="D333">
        <v>61.4</v>
      </c>
      <c r="E333">
        <v>61.75</v>
      </c>
      <c r="F333">
        <v>69815600</v>
      </c>
      <c r="G333">
        <v>76</v>
      </c>
      <c r="H333" s="2">
        <v>-0.1875</v>
      </c>
      <c r="I333" s="3">
        <f>(Query1[[#This Row],[Close]]-E332)/E332</f>
        <v>-3.4401876465989099E-2</v>
      </c>
    </row>
    <row r="334" spans="1:9">
      <c r="A334" s="1">
        <v>44889</v>
      </c>
      <c r="B334">
        <v>62.3</v>
      </c>
      <c r="C334">
        <v>64.099999999999994</v>
      </c>
      <c r="D334">
        <v>62.05</v>
      </c>
      <c r="E334">
        <v>63.2</v>
      </c>
      <c r="F334">
        <v>90679980</v>
      </c>
      <c r="G334">
        <v>76</v>
      </c>
      <c r="H334" s="2">
        <v>-0.168421052631579</v>
      </c>
      <c r="I334" s="3">
        <f>(Query1[[#This Row],[Close]]-E333)/E333</f>
        <v>2.3481781376518265E-2</v>
      </c>
    </row>
    <row r="335" spans="1:9">
      <c r="A335" s="1">
        <v>44890</v>
      </c>
      <c r="B335">
        <v>64</v>
      </c>
      <c r="C335">
        <v>64.900000000000006</v>
      </c>
      <c r="D335">
        <v>63.05</v>
      </c>
      <c r="E335">
        <v>64</v>
      </c>
      <c r="F335">
        <v>74237520</v>
      </c>
      <c r="G335">
        <v>76</v>
      </c>
      <c r="H335" s="2">
        <v>-0.157894736842105</v>
      </c>
      <c r="I335" s="3">
        <f>(Query1[[#This Row],[Close]]-E334)/E334</f>
        <v>1.2658227848101221E-2</v>
      </c>
    </row>
    <row r="336" spans="1:9">
      <c r="A336" s="1">
        <v>44893</v>
      </c>
      <c r="B336">
        <v>64.25</v>
      </c>
      <c r="C336">
        <v>65.3</v>
      </c>
      <c r="D336">
        <v>63.8</v>
      </c>
      <c r="E336">
        <v>64.400000000000006</v>
      </c>
      <c r="F336">
        <v>53453540</v>
      </c>
      <c r="G336">
        <v>76</v>
      </c>
      <c r="H336" s="2">
        <v>-0.15263157894736801</v>
      </c>
      <c r="I336" s="3">
        <f>(Query1[[#This Row],[Close]]-E335)/E335</f>
        <v>6.2500000000000888E-3</v>
      </c>
    </row>
    <row r="337" spans="1:9">
      <c r="A337" s="1">
        <v>44894</v>
      </c>
      <c r="B337">
        <v>64.400000000000006</v>
      </c>
      <c r="C337">
        <v>64.900000000000006</v>
      </c>
      <c r="D337">
        <v>63</v>
      </c>
      <c r="E337">
        <v>63.55</v>
      </c>
      <c r="F337">
        <v>32230340</v>
      </c>
      <c r="G337">
        <v>76</v>
      </c>
      <c r="H337" s="2">
        <v>-0.163815789473684</v>
      </c>
      <c r="I337" s="3">
        <f>(Query1[[#This Row],[Close]]-E336)/E336</f>
        <v>-1.3198757763975286E-2</v>
      </c>
    </row>
    <row r="338" spans="1:9">
      <c r="A338" s="1">
        <v>44895</v>
      </c>
      <c r="B338">
        <v>63</v>
      </c>
      <c r="C338">
        <v>66.8</v>
      </c>
      <c r="D338">
        <v>61.9</v>
      </c>
      <c r="E338">
        <v>65.25</v>
      </c>
      <c r="F338">
        <v>549718600</v>
      </c>
      <c r="G338">
        <v>76</v>
      </c>
      <c r="H338" s="2">
        <v>-0.14144736842105299</v>
      </c>
      <c r="I338" s="3">
        <f>(Query1[[#This Row],[Close]]-E337)/E337</f>
        <v>2.6750590086546074E-2</v>
      </c>
    </row>
    <row r="339" spans="1:9">
      <c r="A339" s="1">
        <v>44896</v>
      </c>
      <c r="B339">
        <v>66.5</v>
      </c>
      <c r="C339">
        <v>67.150000000000006</v>
      </c>
      <c r="D339">
        <v>65.400000000000006</v>
      </c>
      <c r="E339">
        <v>66.650000000000006</v>
      </c>
      <c r="F339">
        <v>83610560</v>
      </c>
      <c r="G339">
        <v>76</v>
      </c>
      <c r="H339" s="2">
        <v>-0.123026315789474</v>
      </c>
      <c r="I339" s="3">
        <f>(Query1[[#This Row],[Close]]-E338)/E338</f>
        <v>2.1455938697318096E-2</v>
      </c>
    </row>
    <row r="340" spans="1:9">
      <c r="A340" s="1">
        <v>44897</v>
      </c>
      <c r="B340">
        <v>66.75</v>
      </c>
      <c r="C340">
        <v>68.900000000000006</v>
      </c>
      <c r="D340">
        <v>66.5</v>
      </c>
      <c r="E340">
        <v>68.55</v>
      </c>
      <c r="F340">
        <v>96262540</v>
      </c>
      <c r="G340">
        <v>76</v>
      </c>
      <c r="H340" s="2">
        <v>-9.8026315789473698E-2</v>
      </c>
      <c r="I340" s="3">
        <f>(Query1[[#This Row],[Close]]-E339)/E339</f>
        <v>2.8507126781695293E-2</v>
      </c>
    </row>
    <row r="341" spans="1:9">
      <c r="A341" s="1">
        <v>44900</v>
      </c>
      <c r="B341">
        <v>68.849999999999994</v>
      </c>
      <c r="C341">
        <v>69</v>
      </c>
      <c r="D341">
        <v>65</v>
      </c>
      <c r="E341">
        <v>65.45</v>
      </c>
      <c r="F341">
        <v>85107180</v>
      </c>
      <c r="G341">
        <v>76</v>
      </c>
      <c r="H341" s="2">
        <v>-0.138815789473684</v>
      </c>
      <c r="I341" s="3">
        <f>(Query1[[#This Row],[Close]]-E340)/E340</f>
        <v>-4.5222465353756298E-2</v>
      </c>
    </row>
    <row r="342" spans="1:9">
      <c r="A342" s="1">
        <v>44901</v>
      </c>
      <c r="B342">
        <v>64.75</v>
      </c>
      <c r="C342">
        <v>65.45</v>
      </c>
      <c r="D342">
        <v>64.45</v>
      </c>
      <c r="E342">
        <v>64.8</v>
      </c>
      <c r="F342">
        <v>40042680</v>
      </c>
      <c r="G342">
        <v>76</v>
      </c>
      <c r="H342" s="2">
        <v>-0.14736842105263201</v>
      </c>
      <c r="I342" s="3">
        <f>(Query1[[#This Row],[Close]]-E341)/E341</f>
        <v>-9.9312452253629592E-3</v>
      </c>
    </row>
    <row r="343" spans="1:9">
      <c r="A343" s="1">
        <v>44902</v>
      </c>
      <c r="B343">
        <v>65.099999999999994</v>
      </c>
      <c r="C343">
        <v>65.400000000000006</v>
      </c>
      <c r="D343">
        <v>64.099999999999994</v>
      </c>
      <c r="E343">
        <v>64.45</v>
      </c>
      <c r="F343">
        <v>29775690</v>
      </c>
      <c r="G343">
        <v>76</v>
      </c>
      <c r="H343" s="2">
        <v>-0.15197368421052601</v>
      </c>
      <c r="I343" s="3">
        <f>(Query1[[#This Row],[Close]]-E342)/E342</f>
        <v>-5.4012345679011467E-3</v>
      </c>
    </row>
    <row r="344" spans="1:9">
      <c r="A344" s="1">
        <v>44903</v>
      </c>
      <c r="B344">
        <v>64.8</v>
      </c>
      <c r="C344">
        <v>64.8</v>
      </c>
      <c r="D344">
        <v>63.65</v>
      </c>
      <c r="E344">
        <v>63.8</v>
      </c>
      <c r="F344">
        <v>35341240</v>
      </c>
      <c r="G344">
        <v>76</v>
      </c>
      <c r="H344" s="2">
        <v>-0.16052631578947399</v>
      </c>
      <c r="I344" s="3">
        <f>(Query1[[#This Row],[Close]]-E343)/E343</f>
        <v>-1.0085337470907767E-2</v>
      </c>
    </row>
    <row r="345" spans="1:9">
      <c r="A345" s="1">
        <v>44904</v>
      </c>
      <c r="B345">
        <v>64.2</v>
      </c>
      <c r="C345">
        <v>64.849999999999994</v>
      </c>
      <c r="D345">
        <v>63.9</v>
      </c>
      <c r="E345">
        <v>64.150000000000006</v>
      </c>
      <c r="F345">
        <v>36490400</v>
      </c>
      <c r="G345">
        <v>76</v>
      </c>
      <c r="H345" s="2">
        <v>-0.15592105263157899</v>
      </c>
      <c r="I345" s="3">
        <f>(Query1[[#This Row],[Close]]-E344)/E344</f>
        <v>5.4858934169280333E-3</v>
      </c>
    </row>
    <row r="346" spans="1:9">
      <c r="A346" s="1">
        <v>44907</v>
      </c>
      <c r="B346">
        <v>64.150000000000006</v>
      </c>
      <c r="C346">
        <v>64.75</v>
      </c>
      <c r="D346">
        <v>63.6</v>
      </c>
      <c r="E346">
        <v>64.400000000000006</v>
      </c>
      <c r="F346">
        <v>20602390</v>
      </c>
      <c r="G346">
        <v>76</v>
      </c>
      <c r="H346" s="2">
        <v>-0.15263157894736801</v>
      </c>
      <c r="I346" s="3">
        <f>(Query1[[#This Row],[Close]]-E345)/E345</f>
        <v>3.8971161340607945E-3</v>
      </c>
    </row>
    <row r="347" spans="1:9">
      <c r="A347" s="1">
        <v>44908</v>
      </c>
      <c r="B347">
        <v>64.8</v>
      </c>
      <c r="C347">
        <v>65.2</v>
      </c>
      <c r="D347">
        <v>64.349999999999994</v>
      </c>
      <c r="E347">
        <v>64.599999999999994</v>
      </c>
      <c r="F347">
        <v>21917720</v>
      </c>
      <c r="G347">
        <v>76</v>
      </c>
      <c r="H347" s="2">
        <v>-0.15</v>
      </c>
      <c r="I347" s="3">
        <f>(Query1[[#This Row],[Close]]-E346)/E346</f>
        <v>3.1055900621116245E-3</v>
      </c>
    </row>
    <row r="348" spans="1:9">
      <c r="A348" s="1">
        <v>44909</v>
      </c>
      <c r="B348">
        <v>64.849999999999994</v>
      </c>
      <c r="C348">
        <v>65.45</v>
      </c>
      <c r="D348">
        <v>64.599999999999994</v>
      </c>
      <c r="E348">
        <v>65</v>
      </c>
      <c r="F348">
        <v>24599680</v>
      </c>
      <c r="G348">
        <v>76</v>
      </c>
      <c r="H348" s="2">
        <v>-0.144736842105263</v>
      </c>
      <c r="I348" s="3">
        <f>(Query1[[#This Row],[Close]]-E347)/E347</f>
        <v>6.1919504643963737E-3</v>
      </c>
    </row>
    <row r="349" spans="1:9">
      <c r="A349" s="1">
        <v>44910</v>
      </c>
      <c r="B349">
        <v>64.95</v>
      </c>
      <c r="C349">
        <v>65.25</v>
      </c>
      <c r="D349">
        <v>63.8</v>
      </c>
      <c r="E349">
        <v>64.150000000000006</v>
      </c>
      <c r="F349">
        <v>19011710</v>
      </c>
      <c r="G349">
        <v>76</v>
      </c>
      <c r="H349" s="2">
        <v>-0.15592105263157899</v>
      </c>
      <c r="I349" s="3">
        <f>(Query1[[#This Row],[Close]]-E348)/E348</f>
        <v>-1.307692307692299E-2</v>
      </c>
    </row>
    <row r="350" spans="1:9">
      <c r="A350" s="1">
        <v>44911</v>
      </c>
      <c r="B350">
        <v>63.75</v>
      </c>
      <c r="C350">
        <v>64</v>
      </c>
      <c r="D350">
        <v>61.85</v>
      </c>
      <c r="E350">
        <v>62.15</v>
      </c>
      <c r="F350">
        <v>48220910</v>
      </c>
      <c r="G350">
        <v>76</v>
      </c>
      <c r="H350" s="2">
        <v>-0.182236842105263</v>
      </c>
      <c r="I350" s="3">
        <f>(Query1[[#This Row],[Close]]-E349)/E349</f>
        <v>-3.1176929072486467E-2</v>
      </c>
    </row>
    <row r="351" spans="1:9">
      <c r="A351" s="1">
        <v>44914</v>
      </c>
      <c r="B351">
        <v>62.4</v>
      </c>
      <c r="C351">
        <v>62.8</v>
      </c>
      <c r="D351">
        <v>62</v>
      </c>
      <c r="E351">
        <v>62.15</v>
      </c>
      <c r="F351">
        <v>21470290</v>
      </c>
      <c r="G351">
        <v>76</v>
      </c>
      <c r="H351" s="2">
        <v>-0.182236842105263</v>
      </c>
      <c r="I351" s="3">
        <f>(Query1[[#This Row],[Close]]-E350)/E350</f>
        <v>0</v>
      </c>
    </row>
    <row r="352" spans="1:9">
      <c r="A352" s="1">
        <v>44915</v>
      </c>
      <c r="B352">
        <v>62.1</v>
      </c>
      <c r="C352">
        <v>63.2</v>
      </c>
      <c r="D352">
        <v>61.9</v>
      </c>
      <c r="E352">
        <v>62.85</v>
      </c>
      <c r="F352">
        <v>32487660</v>
      </c>
      <c r="G352">
        <v>76</v>
      </c>
      <c r="H352" s="2">
        <v>-0.173026315789474</v>
      </c>
      <c r="I352" s="3">
        <f>(Query1[[#This Row],[Close]]-E351)/E351</f>
        <v>1.126307320997591E-2</v>
      </c>
    </row>
    <row r="353" spans="1:9">
      <c r="A353" s="1">
        <v>44916</v>
      </c>
      <c r="B353">
        <v>63.2</v>
      </c>
      <c r="C353">
        <v>63.5</v>
      </c>
      <c r="D353">
        <v>60.85</v>
      </c>
      <c r="E353">
        <v>61.35</v>
      </c>
      <c r="F353">
        <v>39979210</v>
      </c>
      <c r="G353">
        <v>76</v>
      </c>
      <c r="H353" s="2">
        <v>-0.192763157894737</v>
      </c>
      <c r="I353" s="3">
        <f>(Query1[[#This Row],[Close]]-E352)/E352</f>
        <v>-2.386634844868735E-2</v>
      </c>
    </row>
    <row r="354" spans="1:9">
      <c r="A354" s="1">
        <v>44917</v>
      </c>
      <c r="B354">
        <v>61.8</v>
      </c>
      <c r="C354">
        <v>62.05</v>
      </c>
      <c r="D354">
        <v>58.55</v>
      </c>
      <c r="E354">
        <v>58.95</v>
      </c>
      <c r="F354">
        <v>53936110</v>
      </c>
      <c r="G354">
        <v>76</v>
      </c>
      <c r="H354" s="2">
        <v>-0.22434210526315801</v>
      </c>
      <c r="I354" s="3">
        <f>(Query1[[#This Row],[Close]]-E353)/E353</f>
        <v>-3.9119804400977974E-2</v>
      </c>
    </row>
    <row r="355" spans="1:9">
      <c r="A355" s="1">
        <v>44918</v>
      </c>
      <c r="B355">
        <v>58.3</v>
      </c>
      <c r="C355">
        <v>58.35</v>
      </c>
      <c r="D355">
        <v>53.2</v>
      </c>
      <c r="E355">
        <v>53.65</v>
      </c>
      <c r="F355">
        <v>93022110</v>
      </c>
      <c r="G355">
        <v>76</v>
      </c>
      <c r="H355" s="2">
        <v>-0.294078947368421</v>
      </c>
      <c r="I355" s="3">
        <f>(Query1[[#This Row],[Close]]-E354)/E354</f>
        <v>-8.9906700593723562E-2</v>
      </c>
    </row>
    <row r="356" spans="1:9">
      <c r="A356" s="1">
        <v>44921</v>
      </c>
      <c r="B356">
        <v>53.95</v>
      </c>
      <c r="C356">
        <v>59.75</v>
      </c>
      <c r="D356">
        <v>53.45</v>
      </c>
      <c r="E356">
        <v>58.15</v>
      </c>
      <c r="F356">
        <v>83571450</v>
      </c>
      <c r="G356">
        <v>76</v>
      </c>
      <c r="H356" s="2">
        <v>-0.234868421052632</v>
      </c>
      <c r="I356" s="3">
        <f>(Query1[[#This Row],[Close]]-E355)/E355</f>
        <v>8.3876980428704576E-2</v>
      </c>
    </row>
    <row r="357" spans="1:9">
      <c r="A357" s="1">
        <v>44922</v>
      </c>
      <c r="B357">
        <v>59.4</v>
      </c>
      <c r="C357">
        <v>60.6</v>
      </c>
      <c r="D357">
        <v>58.5</v>
      </c>
      <c r="E357">
        <v>58.95</v>
      </c>
      <c r="F357">
        <v>54205000</v>
      </c>
      <c r="G357">
        <v>76</v>
      </c>
      <c r="H357" s="2">
        <v>-0.22434210526315801</v>
      </c>
      <c r="I357" s="3">
        <f>(Query1[[#This Row],[Close]]-E356)/E356</f>
        <v>1.3757523645743839E-2</v>
      </c>
    </row>
    <row r="358" spans="1:9">
      <c r="A358" s="1">
        <v>44923</v>
      </c>
      <c r="B358">
        <v>58.5</v>
      </c>
      <c r="C358">
        <v>60.8</v>
      </c>
      <c r="D358">
        <v>57.85</v>
      </c>
      <c r="E358">
        <v>60.15</v>
      </c>
      <c r="F358">
        <v>70502420</v>
      </c>
      <c r="G358">
        <v>76</v>
      </c>
      <c r="H358" s="2">
        <v>-0.20855263157894699</v>
      </c>
      <c r="I358" s="3">
        <f>(Query1[[#This Row],[Close]]-E357)/E357</f>
        <v>2.0356234096692037E-2</v>
      </c>
    </row>
    <row r="359" spans="1:9">
      <c r="A359" s="1">
        <v>44924</v>
      </c>
      <c r="B359">
        <v>59.5</v>
      </c>
      <c r="C359">
        <v>61.55</v>
      </c>
      <c r="D359">
        <v>59</v>
      </c>
      <c r="E359">
        <v>60.85</v>
      </c>
      <c r="F359">
        <v>24973800</v>
      </c>
      <c r="G359">
        <v>76</v>
      </c>
      <c r="H359" s="2">
        <v>-0.19934210526315799</v>
      </c>
      <c r="I359" s="3">
        <f>(Query1[[#This Row],[Close]]-E358)/E358</f>
        <v>1.163757273482964E-2</v>
      </c>
    </row>
    <row r="360" spans="1:9">
      <c r="A360" s="1">
        <v>44925</v>
      </c>
      <c r="B360">
        <v>61</v>
      </c>
      <c r="C360">
        <v>61.45</v>
      </c>
      <c r="D360">
        <v>59</v>
      </c>
      <c r="E360">
        <v>59.3</v>
      </c>
      <c r="F360">
        <v>33251260</v>
      </c>
      <c r="G360">
        <v>76</v>
      </c>
      <c r="H360" s="2">
        <v>-0.21973684210526301</v>
      </c>
      <c r="I360" s="3">
        <f>(Query1[[#This Row],[Close]]-E359)/E359</f>
        <v>-2.5472473294987745E-2</v>
      </c>
    </row>
    <row r="361" spans="1:9">
      <c r="A361" s="1">
        <v>44928</v>
      </c>
      <c r="B361">
        <v>60.65</v>
      </c>
      <c r="C361">
        <v>60.7</v>
      </c>
      <c r="D361">
        <v>59.8</v>
      </c>
      <c r="E361">
        <v>60.3</v>
      </c>
      <c r="F361">
        <v>18759530</v>
      </c>
      <c r="G361">
        <v>76</v>
      </c>
      <c r="H361" s="2">
        <v>-0.206578947368421</v>
      </c>
      <c r="I361" s="3">
        <f>(Query1[[#This Row],[Close]]-E360)/E360</f>
        <v>1.6863406408094434E-2</v>
      </c>
    </row>
    <row r="362" spans="1:9">
      <c r="A362" s="1">
        <v>44929</v>
      </c>
      <c r="B362">
        <v>58.85</v>
      </c>
      <c r="C362">
        <v>59.55</v>
      </c>
      <c r="D362">
        <v>57.3</v>
      </c>
      <c r="E362">
        <v>58.95</v>
      </c>
      <c r="F362">
        <v>49702760</v>
      </c>
      <c r="G362">
        <v>76</v>
      </c>
      <c r="H362" s="2">
        <v>-0.22434210526315801</v>
      </c>
      <c r="I362" s="3">
        <f>(Query1[[#This Row],[Close]]-E361)/E361</f>
        <v>-2.2388059701492446E-2</v>
      </c>
    </row>
    <row r="363" spans="1:9">
      <c r="A363" s="1">
        <v>44930</v>
      </c>
      <c r="B363">
        <v>58.4</v>
      </c>
      <c r="C363">
        <v>58.7</v>
      </c>
      <c r="D363">
        <v>56</v>
      </c>
      <c r="E363">
        <v>56.35</v>
      </c>
      <c r="F363">
        <v>48975780</v>
      </c>
      <c r="G363">
        <v>76</v>
      </c>
      <c r="H363" s="2">
        <v>-0.25855263157894698</v>
      </c>
      <c r="I363" s="3">
        <f>(Query1[[#This Row],[Close]]-E362)/E362</f>
        <v>-4.4105173876166262E-2</v>
      </c>
    </row>
    <row r="364" spans="1:9">
      <c r="A364" s="1">
        <v>44931</v>
      </c>
      <c r="B364">
        <v>56.95</v>
      </c>
      <c r="C364">
        <v>57.1</v>
      </c>
      <c r="D364">
        <v>55.6</v>
      </c>
      <c r="E364">
        <v>56.2</v>
      </c>
      <c r="F364">
        <v>34448670</v>
      </c>
      <c r="G364">
        <v>76</v>
      </c>
      <c r="H364" s="2">
        <v>-0.26052631578947399</v>
      </c>
      <c r="I364" s="3">
        <f>(Query1[[#This Row],[Close]]-E363)/E363</f>
        <v>-2.6619343389529472E-3</v>
      </c>
    </row>
    <row r="365" spans="1:9">
      <c r="A365" s="1">
        <v>44932</v>
      </c>
      <c r="B365">
        <v>56.2</v>
      </c>
      <c r="C365">
        <v>56.4</v>
      </c>
      <c r="D365">
        <v>54.95</v>
      </c>
      <c r="E365">
        <v>55.25</v>
      </c>
      <c r="F365">
        <v>30272410</v>
      </c>
      <c r="G365">
        <v>76</v>
      </c>
      <c r="H365" s="2">
        <v>-0.27302631578947401</v>
      </c>
      <c r="I365" s="3">
        <f>(Query1[[#This Row],[Close]]-E364)/E364</f>
        <v>-1.6903914590747381E-2</v>
      </c>
    </row>
    <row r="366" spans="1:9">
      <c r="A366" s="1">
        <v>44935</v>
      </c>
      <c r="B366">
        <v>56</v>
      </c>
      <c r="C366">
        <v>57.25</v>
      </c>
      <c r="D366">
        <v>55.75</v>
      </c>
      <c r="E366">
        <v>56</v>
      </c>
      <c r="F366">
        <v>35490330</v>
      </c>
      <c r="G366">
        <v>76</v>
      </c>
      <c r="H366" s="2">
        <v>-0.26315789473684198</v>
      </c>
      <c r="I366" s="3">
        <f>(Query1[[#This Row],[Close]]-E365)/E365</f>
        <v>1.3574660633484163E-2</v>
      </c>
    </row>
    <row r="367" spans="1:9">
      <c r="A367" s="1">
        <v>44936</v>
      </c>
      <c r="B367">
        <v>56</v>
      </c>
      <c r="C367">
        <v>56.15</v>
      </c>
      <c r="D367">
        <v>53.8</v>
      </c>
      <c r="E367">
        <v>54.7</v>
      </c>
      <c r="F367">
        <v>45966330</v>
      </c>
      <c r="G367">
        <v>76</v>
      </c>
      <c r="H367" s="2">
        <v>-0.28026315789473699</v>
      </c>
      <c r="I367" s="3">
        <f>(Query1[[#This Row],[Close]]-E366)/E366</f>
        <v>-2.3214285714285663E-2</v>
      </c>
    </row>
    <row r="368" spans="1:9">
      <c r="A368" s="1">
        <v>44937</v>
      </c>
      <c r="B368">
        <v>55</v>
      </c>
      <c r="C368">
        <v>56.15</v>
      </c>
      <c r="D368">
        <v>54.1</v>
      </c>
      <c r="E368">
        <v>54.35</v>
      </c>
      <c r="F368">
        <v>32626660</v>
      </c>
      <c r="G368">
        <v>76</v>
      </c>
      <c r="H368" s="2">
        <v>-0.28486842105263199</v>
      </c>
      <c r="I368" s="3">
        <f>(Query1[[#This Row],[Close]]-E367)/E367</f>
        <v>-6.3985374771481059E-3</v>
      </c>
    </row>
    <row r="369" spans="1:9">
      <c r="A369" s="1">
        <v>44938</v>
      </c>
      <c r="B369">
        <v>54.7</v>
      </c>
      <c r="C369">
        <v>55</v>
      </c>
      <c r="D369">
        <v>52.95</v>
      </c>
      <c r="E369">
        <v>53.75</v>
      </c>
      <c r="F369">
        <v>38856260</v>
      </c>
      <c r="G369">
        <v>76</v>
      </c>
      <c r="H369" s="2">
        <v>-0.292763157894737</v>
      </c>
      <c r="I369" s="3">
        <f>(Query1[[#This Row],[Close]]-E368)/E368</f>
        <v>-1.1039558417663319E-2</v>
      </c>
    </row>
    <row r="370" spans="1:9">
      <c r="A370" s="1">
        <v>44939</v>
      </c>
      <c r="B370">
        <v>54.1</v>
      </c>
      <c r="C370">
        <v>54.5</v>
      </c>
      <c r="D370">
        <v>53.05</v>
      </c>
      <c r="E370">
        <v>53.25</v>
      </c>
      <c r="F370">
        <v>38735350</v>
      </c>
      <c r="G370">
        <v>76</v>
      </c>
      <c r="H370" s="2">
        <v>-0.29934210526315802</v>
      </c>
      <c r="I370" s="3">
        <f>(Query1[[#This Row],[Close]]-E369)/E369</f>
        <v>-9.3023255813953487E-3</v>
      </c>
    </row>
    <row r="371" spans="1:9">
      <c r="A371" s="1">
        <v>44942</v>
      </c>
      <c r="B371">
        <v>54</v>
      </c>
      <c r="C371">
        <v>54.3</v>
      </c>
      <c r="D371">
        <v>52.5</v>
      </c>
      <c r="E371">
        <v>52.7</v>
      </c>
      <c r="F371">
        <v>35892300</v>
      </c>
      <c r="G371">
        <v>76</v>
      </c>
      <c r="H371" s="2">
        <v>-0.30657894736842101</v>
      </c>
      <c r="I371" s="3">
        <f>(Query1[[#This Row],[Close]]-E370)/E370</f>
        <v>-1.0328638497652528E-2</v>
      </c>
    </row>
    <row r="372" spans="1:9">
      <c r="A372" s="1">
        <v>44943</v>
      </c>
      <c r="B372">
        <v>53</v>
      </c>
      <c r="C372">
        <v>53.1</v>
      </c>
      <c r="D372">
        <v>50</v>
      </c>
      <c r="E372">
        <v>50.15</v>
      </c>
      <c r="F372">
        <v>77122980</v>
      </c>
      <c r="G372">
        <v>76</v>
      </c>
      <c r="H372" s="2">
        <v>-0.34013157894736801</v>
      </c>
      <c r="I372" s="3">
        <f>(Query1[[#This Row],[Close]]-E371)/E371</f>
        <v>-4.8387096774193623E-2</v>
      </c>
    </row>
    <row r="373" spans="1:9">
      <c r="A373" s="1">
        <v>44944</v>
      </c>
      <c r="B373">
        <v>50.4</v>
      </c>
      <c r="C373">
        <v>51.45</v>
      </c>
      <c r="D373">
        <v>48.85</v>
      </c>
      <c r="E373">
        <v>51</v>
      </c>
      <c r="F373">
        <v>84541850</v>
      </c>
      <c r="G373">
        <v>76</v>
      </c>
      <c r="H373" s="2">
        <v>-0.32894736842105299</v>
      </c>
      <c r="I373" s="3">
        <f>(Query1[[#This Row],[Close]]-E372)/E372</f>
        <v>1.6949152542372909E-2</v>
      </c>
    </row>
    <row r="374" spans="1:9">
      <c r="A374" s="1">
        <v>44945</v>
      </c>
      <c r="B374">
        <v>50.3</v>
      </c>
      <c r="C374">
        <v>51.9</v>
      </c>
      <c r="D374">
        <v>50.05</v>
      </c>
      <c r="E374">
        <v>51.1</v>
      </c>
      <c r="F374">
        <v>54523340</v>
      </c>
      <c r="G374">
        <v>76</v>
      </c>
      <c r="H374" s="2">
        <v>-0.327631578947368</v>
      </c>
      <c r="I374" s="3">
        <f>(Query1[[#This Row],[Close]]-E373)/E373</f>
        <v>1.9607843137255179E-3</v>
      </c>
    </row>
    <row r="375" spans="1:9">
      <c r="A375" s="1">
        <v>44946</v>
      </c>
      <c r="B375">
        <v>51.4</v>
      </c>
      <c r="C375">
        <v>52.25</v>
      </c>
      <c r="D375">
        <v>50.55</v>
      </c>
      <c r="E375">
        <v>51.45</v>
      </c>
      <c r="F375">
        <v>47355750</v>
      </c>
      <c r="G375">
        <v>76</v>
      </c>
      <c r="H375" s="2">
        <v>-0.32302631578947399</v>
      </c>
      <c r="I375" s="3">
        <f>(Query1[[#This Row],[Close]]-E374)/E374</f>
        <v>6.8493150684931781E-3</v>
      </c>
    </row>
    <row r="376" spans="1:9">
      <c r="A376" s="1">
        <v>44949</v>
      </c>
      <c r="B376">
        <v>51.9</v>
      </c>
      <c r="C376">
        <v>51.9</v>
      </c>
      <c r="D376">
        <v>50.65</v>
      </c>
      <c r="E376">
        <v>51</v>
      </c>
      <c r="F376">
        <v>24658880</v>
      </c>
      <c r="G376">
        <v>76</v>
      </c>
      <c r="H376" s="2">
        <v>-0.32894736842105299</v>
      </c>
      <c r="I376" s="3">
        <f>(Query1[[#This Row],[Close]]-E375)/E375</f>
        <v>-8.7463556851312494E-3</v>
      </c>
    </row>
    <row r="377" spans="1:9">
      <c r="A377" s="1">
        <v>44950</v>
      </c>
      <c r="B377">
        <v>51</v>
      </c>
      <c r="C377">
        <v>52.3</v>
      </c>
      <c r="D377">
        <v>50.65</v>
      </c>
      <c r="E377">
        <v>52.1</v>
      </c>
      <c r="F377">
        <v>47720350</v>
      </c>
      <c r="G377">
        <v>76</v>
      </c>
      <c r="H377" s="2">
        <v>-0.31447368421052602</v>
      </c>
      <c r="I377" s="3">
        <f>(Query1[[#This Row],[Close]]-E376)/E376</f>
        <v>2.156862745098042E-2</v>
      </c>
    </row>
    <row r="378" spans="1:9">
      <c r="A378" s="1">
        <v>44951</v>
      </c>
      <c r="B378">
        <v>52</v>
      </c>
      <c r="C378">
        <v>52.05</v>
      </c>
      <c r="D378">
        <v>44.35</v>
      </c>
      <c r="E378">
        <v>47.75</v>
      </c>
      <c r="F378">
        <v>237764100</v>
      </c>
      <c r="G378">
        <v>76</v>
      </c>
      <c r="H378" s="2">
        <v>-0.37171052631578999</v>
      </c>
      <c r="I378" s="3">
        <f>(Query1[[#This Row],[Close]]-E377)/E377</f>
        <v>-8.349328214971212E-2</v>
      </c>
    </row>
    <row r="379" spans="1:9">
      <c r="A379" s="1">
        <v>44953</v>
      </c>
      <c r="B379">
        <v>49</v>
      </c>
      <c r="C379">
        <v>51.8</v>
      </c>
      <c r="D379">
        <v>46.7</v>
      </c>
      <c r="E379">
        <v>46.95</v>
      </c>
      <c r="F379">
        <v>169788400</v>
      </c>
      <c r="G379">
        <v>76</v>
      </c>
      <c r="H379" s="2">
        <v>-0.38223684210526299</v>
      </c>
      <c r="I379" s="3">
        <f>(Query1[[#This Row],[Close]]-E378)/E378</f>
        <v>-1.675392670157062E-2</v>
      </c>
    </row>
    <row r="380" spans="1:9">
      <c r="A380" s="1">
        <v>44956</v>
      </c>
      <c r="B380">
        <v>47.9</v>
      </c>
      <c r="C380">
        <v>48.55</v>
      </c>
      <c r="D380">
        <v>46.7</v>
      </c>
      <c r="E380">
        <v>47.4</v>
      </c>
      <c r="F380">
        <v>54376630</v>
      </c>
      <c r="G380">
        <v>76</v>
      </c>
      <c r="H380" s="2">
        <v>-0.37631578947368399</v>
      </c>
      <c r="I380" s="3">
        <f>(Query1[[#This Row],[Close]]-E379)/E379</f>
        <v>9.5846645367411235E-3</v>
      </c>
    </row>
    <row r="381" spans="1:9">
      <c r="A381" s="1">
        <v>44957</v>
      </c>
      <c r="B381">
        <v>48</v>
      </c>
      <c r="C381">
        <v>50.7</v>
      </c>
      <c r="D381">
        <v>46.45</v>
      </c>
      <c r="E381">
        <v>49.75</v>
      </c>
      <c r="F381">
        <v>95398490</v>
      </c>
      <c r="G381">
        <v>76</v>
      </c>
      <c r="H381" s="2">
        <v>-0.34539473684210498</v>
      </c>
      <c r="I381" s="3">
        <f>(Query1[[#This Row],[Close]]-E380)/E380</f>
        <v>4.9578059071729991E-2</v>
      </c>
    </row>
    <row r="382" spans="1:9">
      <c r="A382" s="1">
        <v>44958</v>
      </c>
      <c r="B382">
        <v>50</v>
      </c>
      <c r="C382">
        <v>51.05</v>
      </c>
      <c r="D382">
        <v>47.05</v>
      </c>
      <c r="E382">
        <v>48.15</v>
      </c>
      <c r="F382">
        <v>68752680</v>
      </c>
      <c r="G382">
        <v>76</v>
      </c>
      <c r="H382" s="2">
        <v>-0.36644736842105302</v>
      </c>
      <c r="I382" s="3">
        <f>(Query1[[#This Row],[Close]]-E381)/E381</f>
        <v>-3.2160804020100534E-2</v>
      </c>
    </row>
    <row r="383" spans="1:9">
      <c r="A383" s="1">
        <v>44959</v>
      </c>
      <c r="B383">
        <v>48.4</v>
      </c>
      <c r="C383">
        <v>48.9</v>
      </c>
      <c r="D383">
        <v>47.15</v>
      </c>
      <c r="E383">
        <v>47.5</v>
      </c>
      <c r="F383">
        <v>40751680</v>
      </c>
      <c r="G383">
        <v>76</v>
      </c>
      <c r="H383" s="2">
        <v>-0.375</v>
      </c>
      <c r="I383" s="3">
        <f>(Query1[[#This Row],[Close]]-E382)/E382</f>
        <v>-1.3499480789200387E-2</v>
      </c>
    </row>
    <row r="384" spans="1:9">
      <c r="A384" s="1">
        <v>44960</v>
      </c>
      <c r="B384">
        <v>48.15</v>
      </c>
      <c r="C384">
        <v>49.25</v>
      </c>
      <c r="D384">
        <v>47.7</v>
      </c>
      <c r="E384">
        <v>48.75</v>
      </c>
      <c r="F384">
        <v>42497840</v>
      </c>
      <c r="G384">
        <v>76</v>
      </c>
      <c r="H384" s="2">
        <v>-0.35855263157894701</v>
      </c>
      <c r="I384" s="3">
        <f>(Query1[[#This Row],[Close]]-E383)/E383</f>
        <v>2.6315789473684209E-2</v>
      </c>
    </row>
    <row r="385" spans="1:9">
      <c r="A385" s="1">
        <v>44963</v>
      </c>
      <c r="B385">
        <v>48.7</v>
      </c>
      <c r="C385">
        <v>49.1</v>
      </c>
      <c r="D385">
        <v>47.55</v>
      </c>
      <c r="E385">
        <v>47.75</v>
      </c>
      <c r="F385">
        <v>35956950</v>
      </c>
      <c r="G385">
        <v>76</v>
      </c>
      <c r="H385" s="2">
        <v>-0.37171052631578999</v>
      </c>
      <c r="I385" s="3">
        <f>(Query1[[#This Row],[Close]]-E384)/E384</f>
        <v>-2.0512820512820513E-2</v>
      </c>
    </row>
    <row r="386" spans="1:9">
      <c r="A386" s="1">
        <v>44964</v>
      </c>
      <c r="B386">
        <v>48</v>
      </c>
      <c r="C386">
        <v>51</v>
      </c>
      <c r="D386">
        <v>47.6</v>
      </c>
      <c r="E386">
        <v>49.35</v>
      </c>
      <c r="F386">
        <v>61077390</v>
      </c>
      <c r="G386">
        <v>76</v>
      </c>
      <c r="H386" s="2">
        <v>-0.350657894736842</v>
      </c>
      <c r="I386" s="3">
        <f>(Query1[[#This Row],[Close]]-E385)/E385</f>
        <v>3.3507853403141392E-2</v>
      </c>
    </row>
    <row r="387" spans="1:9">
      <c r="A387" s="1">
        <v>44965</v>
      </c>
      <c r="B387">
        <v>51.2</v>
      </c>
      <c r="C387">
        <v>55.3</v>
      </c>
      <c r="D387">
        <v>51.1</v>
      </c>
      <c r="E387">
        <v>54.3</v>
      </c>
      <c r="F387">
        <v>265595800</v>
      </c>
      <c r="G387">
        <v>76</v>
      </c>
      <c r="H387" s="2">
        <v>-0.28552631578947402</v>
      </c>
      <c r="I387" s="3">
        <f>(Query1[[#This Row],[Close]]-E386)/E386</f>
        <v>0.10030395136778107</v>
      </c>
    </row>
    <row r="388" spans="1:9">
      <c r="A388" s="1">
        <v>44966</v>
      </c>
      <c r="B388">
        <v>54.7</v>
      </c>
      <c r="C388">
        <v>56.8</v>
      </c>
      <c r="D388">
        <v>53.4</v>
      </c>
      <c r="E388">
        <v>54.4</v>
      </c>
      <c r="F388">
        <v>216398600</v>
      </c>
      <c r="G388">
        <v>76</v>
      </c>
      <c r="H388" s="2">
        <v>-0.28421052631579002</v>
      </c>
      <c r="I388" s="3">
        <f>(Query1[[#This Row],[Close]]-E387)/E387</f>
        <v>1.8416206261510392E-3</v>
      </c>
    </row>
    <row r="389" spans="1:9">
      <c r="A389" s="1">
        <v>44967</v>
      </c>
      <c r="B389">
        <v>52.7</v>
      </c>
      <c r="C389">
        <v>54.15</v>
      </c>
      <c r="D389">
        <v>50.7</v>
      </c>
      <c r="E389">
        <v>53.3</v>
      </c>
      <c r="F389">
        <v>176950200</v>
      </c>
      <c r="G389">
        <v>76</v>
      </c>
      <c r="H389" s="2">
        <v>-0.298684210526316</v>
      </c>
      <c r="I389" s="3">
        <f>(Query1[[#This Row],[Close]]-E388)/E388</f>
        <v>-2.0220588235294143E-2</v>
      </c>
    </row>
    <row r="390" spans="1:9">
      <c r="A390" s="1">
        <v>44970</v>
      </c>
      <c r="B390">
        <v>53</v>
      </c>
      <c r="C390">
        <v>53.7</v>
      </c>
      <c r="D390">
        <v>51.25</v>
      </c>
      <c r="E390">
        <v>51.8</v>
      </c>
      <c r="F390">
        <v>86162270</v>
      </c>
      <c r="G390">
        <v>76</v>
      </c>
      <c r="H390" s="2">
        <v>-0.31842105263157899</v>
      </c>
      <c r="I390" s="3">
        <f>(Query1[[#This Row],[Close]]-E389)/E389</f>
        <v>-2.8142589118198877E-2</v>
      </c>
    </row>
    <row r="391" spans="1:9">
      <c r="A391" s="1">
        <v>44971</v>
      </c>
      <c r="B391">
        <v>51.8</v>
      </c>
      <c r="C391">
        <v>52.5</v>
      </c>
      <c r="D391">
        <v>49.9</v>
      </c>
      <c r="E391">
        <v>50.35</v>
      </c>
      <c r="F391">
        <v>79395200</v>
      </c>
      <c r="G391">
        <v>76</v>
      </c>
      <c r="H391" s="2">
        <v>-0.33750000000000002</v>
      </c>
      <c r="I391" s="3">
        <f>(Query1[[#This Row],[Close]]-E390)/E390</f>
        <v>-2.7992277992277912E-2</v>
      </c>
    </row>
    <row r="392" spans="1:9">
      <c r="A392" s="1">
        <v>44972</v>
      </c>
      <c r="B392">
        <v>50.55</v>
      </c>
      <c r="C392">
        <v>50.9</v>
      </c>
      <c r="D392">
        <v>49.8</v>
      </c>
      <c r="E392">
        <v>50.25</v>
      </c>
      <c r="F392">
        <v>49655880</v>
      </c>
      <c r="G392">
        <v>76</v>
      </c>
      <c r="H392" s="2">
        <v>-0.33881578947368401</v>
      </c>
      <c r="I392" s="3">
        <f>(Query1[[#This Row],[Close]]-E391)/E391</f>
        <v>-1.9860973187686478E-3</v>
      </c>
    </row>
    <row r="393" spans="1:9">
      <c r="A393" s="1">
        <v>44973</v>
      </c>
      <c r="B393">
        <v>50.8</v>
      </c>
      <c r="C393">
        <v>51.8</v>
      </c>
      <c r="D393">
        <v>50.45</v>
      </c>
      <c r="E393">
        <v>51.4</v>
      </c>
      <c r="F393">
        <v>48841960</v>
      </c>
      <c r="G393">
        <v>76</v>
      </c>
      <c r="H393" s="2">
        <v>-0.32368421052631602</v>
      </c>
      <c r="I393" s="3">
        <f>(Query1[[#This Row],[Close]]-E392)/E392</f>
        <v>2.2885572139303454E-2</v>
      </c>
    </row>
    <row r="394" spans="1:9">
      <c r="A394" s="1">
        <v>44974</v>
      </c>
      <c r="B394">
        <v>51.25</v>
      </c>
      <c r="C394">
        <v>52.2</v>
      </c>
      <c r="D394">
        <v>50.7</v>
      </c>
      <c r="E394">
        <v>51.8</v>
      </c>
      <c r="F394">
        <v>52862406</v>
      </c>
      <c r="G394">
        <v>76</v>
      </c>
      <c r="H394" s="2">
        <v>-0.31842105263157899</v>
      </c>
      <c r="I394" s="3">
        <f>(Query1[[#This Row],[Close]]-E393)/E393</f>
        <v>7.7821011673151474E-3</v>
      </c>
    </row>
    <row r="395" spans="1:9">
      <c r="A395" s="1">
        <v>44977</v>
      </c>
      <c r="B395">
        <v>51.9</v>
      </c>
      <c r="C395">
        <v>55.05</v>
      </c>
      <c r="D395">
        <v>51.75</v>
      </c>
      <c r="E395">
        <v>54.6</v>
      </c>
      <c r="F395">
        <v>93315250</v>
      </c>
      <c r="G395">
        <v>76</v>
      </c>
      <c r="H395" s="2">
        <v>-0.28157894736842098</v>
      </c>
      <c r="I395" s="3">
        <f>(Query1[[#This Row],[Close]]-E394)/E394</f>
        <v>5.405405405405414E-2</v>
      </c>
    </row>
    <row r="396" spans="1:9">
      <c r="A396" s="1">
        <v>44978</v>
      </c>
      <c r="B396">
        <v>54.6</v>
      </c>
      <c r="C396">
        <v>56.15</v>
      </c>
      <c r="D396">
        <v>54.4</v>
      </c>
      <c r="E396">
        <v>55.35</v>
      </c>
      <c r="F396">
        <v>100106000</v>
      </c>
      <c r="G396">
        <v>76</v>
      </c>
      <c r="H396" s="2">
        <v>-0.27171052631578901</v>
      </c>
      <c r="I396" s="3">
        <f>(Query1[[#This Row],[Close]]-E395)/E395</f>
        <v>1.3736263736263736E-2</v>
      </c>
    </row>
    <row r="397" spans="1:9">
      <c r="A397" s="1">
        <v>44979</v>
      </c>
      <c r="B397">
        <v>54.85</v>
      </c>
      <c r="C397">
        <v>55.4</v>
      </c>
      <c r="D397">
        <v>52.6</v>
      </c>
      <c r="E397">
        <v>52.95</v>
      </c>
      <c r="F397">
        <v>75802020</v>
      </c>
      <c r="G397">
        <v>76</v>
      </c>
      <c r="H397" s="2">
        <v>-0.30328947368421</v>
      </c>
      <c r="I397" s="3">
        <f>(Query1[[#This Row],[Close]]-E396)/E396</f>
        <v>-4.3360433604336016E-2</v>
      </c>
    </row>
    <row r="398" spans="1:9">
      <c r="A398" s="1">
        <v>44980</v>
      </c>
      <c r="B398">
        <v>53</v>
      </c>
      <c r="C398">
        <v>56</v>
      </c>
      <c r="D398">
        <v>52.8</v>
      </c>
      <c r="E398">
        <v>54.95</v>
      </c>
      <c r="F398">
        <v>118058900</v>
      </c>
      <c r="G398">
        <v>76</v>
      </c>
      <c r="H398" s="2">
        <v>-0.27697368421052598</v>
      </c>
      <c r="I398" s="3">
        <f>(Query1[[#This Row],[Close]]-E397)/E397</f>
        <v>3.7771482530689328E-2</v>
      </c>
    </row>
    <row r="399" spans="1:9">
      <c r="A399" s="1">
        <v>44981</v>
      </c>
      <c r="B399">
        <v>55.5</v>
      </c>
      <c r="C399">
        <v>56.75</v>
      </c>
      <c r="D399">
        <v>54</v>
      </c>
      <c r="E399">
        <v>54.45</v>
      </c>
      <c r="F399">
        <v>73440690</v>
      </c>
      <c r="G399">
        <v>76</v>
      </c>
      <c r="H399" s="2">
        <v>-0.283552631578947</v>
      </c>
      <c r="I399" s="3">
        <f>(Query1[[#This Row],[Close]]-E398)/E398</f>
        <v>-9.0991810737033659E-3</v>
      </c>
    </row>
    <row r="400" spans="1:9">
      <c r="A400" s="1">
        <v>44984</v>
      </c>
      <c r="B400">
        <v>54.7</v>
      </c>
      <c r="C400">
        <v>54.75</v>
      </c>
      <c r="D400">
        <v>53.2</v>
      </c>
      <c r="E400">
        <v>53.6</v>
      </c>
      <c r="F400">
        <v>38735550</v>
      </c>
      <c r="G400">
        <v>76</v>
      </c>
      <c r="H400" s="2">
        <v>-0.29473684210526302</v>
      </c>
      <c r="I400" s="3">
        <f>(Query1[[#This Row],[Close]]-E399)/E399</f>
        <v>-1.5610651974288363E-2</v>
      </c>
    </row>
    <row r="401" spans="1:9">
      <c r="A401" s="1">
        <v>44985</v>
      </c>
      <c r="B401">
        <v>53.7</v>
      </c>
      <c r="C401">
        <v>54.4</v>
      </c>
      <c r="D401">
        <v>53</v>
      </c>
      <c r="E401">
        <v>53.5</v>
      </c>
      <c r="F401">
        <v>45414860</v>
      </c>
      <c r="G401">
        <v>76</v>
      </c>
      <c r="H401" s="2">
        <v>-0.29605263157894701</v>
      </c>
      <c r="I401" s="3">
        <f>(Query1[[#This Row],[Close]]-E400)/E400</f>
        <v>-1.8656716417910712E-3</v>
      </c>
    </row>
    <row r="402" spans="1:9">
      <c r="A402" s="1">
        <v>44986</v>
      </c>
      <c r="B402">
        <v>53.5</v>
      </c>
      <c r="C402">
        <v>55.35</v>
      </c>
      <c r="D402">
        <v>53.35</v>
      </c>
      <c r="E402">
        <v>54.95</v>
      </c>
      <c r="F402">
        <v>42854820</v>
      </c>
      <c r="G402">
        <v>76</v>
      </c>
      <c r="H402" s="2">
        <v>-0.27697368421052598</v>
      </c>
      <c r="I402" s="3">
        <f>(Query1[[#This Row],[Close]]-E401)/E401</f>
        <v>2.7102803738317811E-2</v>
      </c>
    </row>
    <row r="403" spans="1:9">
      <c r="A403" s="1">
        <v>44987</v>
      </c>
      <c r="B403">
        <v>54.75</v>
      </c>
      <c r="C403">
        <v>55.2</v>
      </c>
      <c r="D403">
        <v>54.35</v>
      </c>
      <c r="E403">
        <v>54.55</v>
      </c>
      <c r="F403">
        <v>36256140</v>
      </c>
      <c r="G403">
        <v>76</v>
      </c>
      <c r="H403" s="2">
        <v>-0.28223684210526301</v>
      </c>
      <c r="I403" s="3">
        <f>(Query1[[#This Row],[Close]]-E402)/E402</f>
        <v>-7.2793448589627968E-3</v>
      </c>
    </row>
    <row r="404" spans="1:9">
      <c r="A404" s="1">
        <v>44988</v>
      </c>
      <c r="B404">
        <v>54.9</v>
      </c>
      <c r="C404">
        <v>55.4</v>
      </c>
      <c r="D404">
        <v>53.2</v>
      </c>
      <c r="E404">
        <v>53.65</v>
      </c>
      <c r="F404">
        <v>36943820</v>
      </c>
      <c r="G404">
        <v>76</v>
      </c>
      <c r="H404" s="2">
        <v>-0.294078947368421</v>
      </c>
      <c r="I404" s="3">
        <f>(Query1[[#This Row],[Close]]-E403)/E403</f>
        <v>-1.649862511457376E-2</v>
      </c>
    </row>
    <row r="405" spans="1:9">
      <c r="A405" s="1">
        <v>44991</v>
      </c>
      <c r="B405">
        <v>54</v>
      </c>
      <c r="C405">
        <v>54.95</v>
      </c>
      <c r="D405">
        <v>53.7</v>
      </c>
      <c r="E405">
        <v>53.95</v>
      </c>
      <c r="F405">
        <v>33492580</v>
      </c>
      <c r="G405">
        <v>76</v>
      </c>
      <c r="H405" s="2">
        <v>-0.29013157894736802</v>
      </c>
      <c r="I405" s="3">
        <f>(Query1[[#This Row],[Close]]-E404)/E404</f>
        <v>5.5917986952470503E-3</v>
      </c>
    </row>
    <row r="406" spans="1:9">
      <c r="A406" s="1">
        <v>44993</v>
      </c>
      <c r="B406">
        <v>53.45</v>
      </c>
      <c r="C406">
        <v>55.3</v>
      </c>
      <c r="D406">
        <v>52.65</v>
      </c>
      <c r="E406">
        <v>54.8</v>
      </c>
      <c r="F406">
        <v>44159720</v>
      </c>
      <c r="G406">
        <v>76</v>
      </c>
      <c r="H406" s="2">
        <v>-0.278947368421053</v>
      </c>
      <c r="I406" s="3">
        <f>(Query1[[#This Row],[Close]]-E405)/E405</f>
        <v>1.5755329008340951E-2</v>
      </c>
    </row>
    <row r="407" spans="1:9">
      <c r="A407" s="1">
        <v>44994</v>
      </c>
      <c r="B407">
        <v>55.1</v>
      </c>
      <c r="C407">
        <v>56.35</v>
      </c>
      <c r="D407">
        <v>53.9</v>
      </c>
      <c r="E407">
        <v>54.05</v>
      </c>
      <c r="F407">
        <v>56021940</v>
      </c>
      <c r="G407">
        <v>76</v>
      </c>
      <c r="H407" s="2">
        <v>-0.28881578947368403</v>
      </c>
      <c r="I407" s="3">
        <f>(Query1[[#This Row],[Close]]-E406)/E406</f>
        <v>-1.3686131386861315E-2</v>
      </c>
    </row>
    <row r="408" spans="1:9">
      <c r="A408" s="1">
        <v>44995</v>
      </c>
      <c r="B408">
        <v>53.8</v>
      </c>
      <c r="C408">
        <v>54.5</v>
      </c>
      <c r="D408">
        <v>53.3</v>
      </c>
      <c r="E408">
        <v>53.85</v>
      </c>
      <c r="F408">
        <v>39226930</v>
      </c>
      <c r="G408">
        <v>76</v>
      </c>
      <c r="H408" s="2">
        <v>-0.29144736842105301</v>
      </c>
      <c r="I408" s="3">
        <f>(Query1[[#This Row],[Close]]-E407)/E407</f>
        <v>-3.7002775208139823E-3</v>
      </c>
    </row>
    <row r="409" spans="1:9">
      <c r="A409" s="1">
        <v>44998</v>
      </c>
      <c r="B409">
        <v>53.95</v>
      </c>
      <c r="C409">
        <v>54.7</v>
      </c>
      <c r="D409">
        <v>51.6</v>
      </c>
      <c r="E409">
        <v>51.9</v>
      </c>
      <c r="F409">
        <v>52374650</v>
      </c>
      <c r="G409">
        <v>76</v>
      </c>
      <c r="H409" s="2">
        <v>-0.317105263157895</v>
      </c>
      <c r="I409" s="3">
        <f>(Query1[[#This Row],[Close]]-E408)/E408</f>
        <v>-3.6211699164345454E-2</v>
      </c>
    </row>
    <row r="410" spans="1:9">
      <c r="A410" s="1">
        <v>44999</v>
      </c>
      <c r="B410">
        <v>52</v>
      </c>
      <c r="C410">
        <v>52.5</v>
      </c>
      <c r="D410">
        <v>50.2</v>
      </c>
      <c r="E410">
        <v>50.75</v>
      </c>
      <c r="F410">
        <v>52247900</v>
      </c>
      <c r="G410">
        <v>76</v>
      </c>
      <c r="H410" s="2">
        <v>-0.332236842105263</v>
      </c>
      <c r="I410" s="3">
        <f>(Query1[[#This Row],[Close]]-E409)/E409</f>
        <v>-2.2157996146435426E-2</v>
      </c>
    </row>
    <row r="411" spans="1:9">
      <c r="A411" s="1">
        <v>45000</v>
      </c>
      <c r="B411">
        <v>51.5</v>
      </c>
      <c r="C411">
        <v>52.2</v>
      </c>
      <c r="D411">
        <v>50.55</v>
      </c>
      <c r="E411">
        <v>50.75</v>
      </c>
      <c r="F411">
        <v>38763140</v>
      </c>
      <c r="G411">
        <v>76</v>
      </c>
      <c r="H411" s="2">
        <v>-0.332236842105263</v>
      </c>
      <c r="I411" s="3">
        <f>(Query1[[#This Row],[Close]]-E410)/E410</f>
        <v>0</v>
      </c>
    </row>
    <row r="412" spans="1:9">
      <c r="A412" s="1">
        <v>45001</v>
      </c>
      <c r="B412">
        <v>50.9</v>
      </c>
      <c r="C412">
        <v>53.7</v>
      </c>
      <c r="D412">
        <v>49.85</v>
      </c>
      <c r="E412">
        <v>53.05</v>
      </c>
      <c r="F412">
        <v>61237050</v>
      </c>
      <c r="G412">
        <v>76</v>
      </c>
      <c r="H412" s="2">
        <v>-0.30197368421052601</v>
      </c>
      <c r="I412" s="3">
        <f>(Query1[[#This Row],[Close]]-E411)/E411</f>
        <v>4.5320197044334917E-2</v>
      </c>
    </row>
    <row r="413" spans="1:9">
      <c r="A413" s="1">
        <v>45002</v>
      </c>
      <c r="B413">
        <v>53.45</v>
      </c>
      <c r="C413">
        <v>55.75</v>
      </c>
      <c r="D413">
        <v>53.05</v>
      </c>
      <c r="E413">
        <v>54.9</v>
      </c>
      <c r="F413">
        <v>112918800</v>
      </c>
      <c r="G413">
        <v>76</v>
      </c>
      <c r="H413" s="2">
        <v>-0.27763157894736801</v>
      </c>
      <c r="I413" s="3">
        <f>(Query1[[#This Row],[Close]]-E412)/E412</f>
        <v>3.4872761545711624E-2</v>
      </c>
    </row>
    <row r="414" spans="1:9">
      <c r="A414" s="1">
        <v>45005</v>
      </c>
      <c r="B414">
        <v>53.6</v>
      </c>
      <c r="C414">
        <v>54.75</v>
      </c>
      <c r="D414">
        <v>52.2</v>
      </c>
      <c r="E414">
        <v>53.55</v>
      </c>
      <c r="F414">
        <v>65578910</v>
      </c>
      <c r="G414">
        <v>76</v>
      </c>
      <c r="H414" s="2">
        <v>-0.29539473684210499</v>
      </c>
      <c r="I414" s="3">
        <f>(Query1[[#This Row],[Close]]-E413)/E413</f>
        <v>-2.4590163934426257E-2</v>
      </c>
    </row>
    <row r="415" spans="1:9">
      <c r="A415" s="1">
        <v>45006</v>
      </c>
      <c r="B415">
        <v>53.85</v>
      </c>
      <c r="C415">
        <v>54.15</v>
      </c>
      <c r="D415">
        <v>52.65</v>
      </c>
      <c r="E415">
        <v>53</v>
      </c>
      <c r="F415">
        <v>31632950</v>
      </c>
      <c r="G415">
        <v>76</v>
      </c>
      <c r="H415" s="2">
        <v>-0.30263157894736797</v>
      </c>
      <c r="I415" s="3">
        <f>(Query1[[#This Row],[Close]]-E414)/E414</f>
        <v>-1.0270774976657277E-2</v>
      </c>
    </row>
    <row r="416" spans="1:9">
      <c r="A416" s="1">
        <v>45007</v>
      </c>
      <c r="B416">
        <v>53.4</v>
      </c>
      <c r="C416">
        <v>53.9</v>
      </c>
      <c r="D416">
        <v>52.7</v>
      </c>
      <c r="E416">
        <v>53.1</v>
      </c>
      <c r="F416">
        <v>38444990</v>
      </c>
      <c r="G416">
        <v>76</v>
      </c>
      <c r="H416" s="2">
        <v>-0.30131578947368398</v>
      </c>
      <c r="I416" s="3">
        <f>(Query1[[#This Row],[Close]]-E415)/E415</f>
        <v>1.8867924528302156E-3</v>
      </c>
    </row>
    <row r="417" spans="1:9">
      <c r="A417" s="1">
        <v>45008</v>
      </c>
      <c r="B417">
        <v>52.9</v>
      </c>
      <c r="C417">
        <v>53.2</v>
      </c>
      <c r="D417">
        <v>52.1</v>
      </c>
      <c r="E417">
        <v>52.65</v>
      </c>
      <c r="F417">
        <v>32816290</v>
      </c>
      <c r="G417">
        <v>76</v>
      </c>
      <c r="H417" s="2">
        <v>-0.30723684210526298</v>
      </c>
      <c r="I417" s="3">
        <f>(Query1[[#This Row],[Close]]-E416)/E416</f>
        <v>-8.4745762711864944E-3</v>
      </c>
    </row>
    <row r="418" spans="1:9">
      <c r="A418" s="1">
        <v>45009</v>
      </c>
      <c r="B418">
        <v>52.5</v>
      </c>
      <c r="C418">
        <v>52.85</v>
      </c>
      <c r="D418">
        <v>50.15</v>
      </c>
      <c r="E418">
        <v>50.65</v>
      </c>
      <c r="F418">
        <v>67243080</v>
      </c>
      <c r="G418">
        <v>76</v>
      </c>
      <c r="H418" s="2">
        <v>-0.33355263157894699</v>
      </c>
      <c r="I418" s="3">
        <f>(Query1[[#This Row],[Close]]-E417)/E417</f>
        <v>-3.7986704653371318E-2</v>
      </c>
    </row>
    <row r="419" spans="1:9">
      <c r="A419" s="1">
        <v>45012</v>
      </c>
      <c r="B419">
        <v>50.7</v>
      </c>
      <c r="C419">
        <v>51.3</v>
      </c>
      <c r="D419">
        <v>49.25</v>
      </c>
      <c r="E419">
        <v>50.1</v>
      </c>
      <c r="F419">
        <v>49618130</v>
      </c>
      <c r="G419">
        <v>76</v>
      </c>
      <c r="H419" s="2">
        <v>-0.34078947368420998</v>
      </c>
      <c r="I419" s="3">
        <f>(Query1[[#This Row],[Close]]-E418)/E418</f>
        <v>-1.0858835143139135E-2</v>
      </c>
    </row>
    <row r="420" spans="1:9">
      <c r="A420" s="1">
        <v>45013</v>
      </c>
      <c r="B420">
        <v>50.2</v>
      </c>
      <c r="C420">
        <v>50.55</v>
      </c>
      <c r="D420">
        <v>49</v>
      </c>
      <c r="E420">
        <v>50.25</v>
      </c>
      <c r="F420">
        <v>50426170</v>
      </c>
      <c r="G420">
        <v>76</v>
      </c>
      <c r="H420" s="2">
        <v>-0.33881578947368401</v>
      </c>
      <c r="I420" s="3">
        <f>(Query1[[#This Row],[Close]]-E419)/E419</f>
        <v>2.9940119760478758E-3</v>
      </c>
    </row>
    <row r="421" spans="1:9">
      <c r="A421" s="1">
        <v>45014</v>
      </c>
      <c r="B421">
        <v>50.25</v>
      </c>
      <c r="C421">
        <v>51.75</v>
      </c>
      <c r="D421">
        <v>49.6</v>
      </c>
      <c r="E421">
        <v>51.25</v>
      </c>
      <c r="F421">
        <v>41464380</v>
      </c>
      <c r="G421">
        <v>76</v>
      </c>
      <c r="H421" s="2">
        <v>-0.32565789473684198</v>
      </c>
      <c r="I421" s="3">
        <f>(Query1[[#This Row],[Close]]-E420)/E420</f>
        <v>1.9900497512437811E-2</v>
      </c>
    </row>
    <row r="422" spans="1:9">
      <c r="A422" s="1">
        <v>45016</v>
      </c>
      <c r="B422">
        <v>51.25</v>
      </c>
      <c r="C422">
        <v>51.7</v>
      </c>
      <c r="D422">
        <v>50.65</v>
      </c>
      <c r="E422">
        <v>51</v>
      </c>
      <c r="F422">
        <v>56566130</v>
      </c>
      <c r="G422">
        <v>76</v>
      </c>
      <c r="H422" s="2">
        <v>-0.32894736842105299</v>
      </c>
      <c r="I422" s="3">
        <f>(Query1[[#This Row],[Close]]-E421)/E421</f>
        <v>-4.8780487804878049E-3</v>
      </c>
    </row>
    <row r="423" spans="1:9">
      <c r="A423" s="1">
        <v>45019</v>
      </c>
      <c r="B423">
        <v>51.5</v>
      </c>
      <c r="C423">
        <v>52.15</v>
      </c>
      <c r="D423">
        <v>50.9</v>
      </c>
      <c r="E423">
        <v>51.95</v>
      </c>
      <c r="F423">
        <v>29241510</v>
      </c>
      <c r="G423">
        <v>76</v>
      </c>
      <c r="H423" s="2">
        <v>-0.31644736842105298</v>
      </c>
      <c r="I423" s="3">
        <f>(Query1[[#This Row],[Close]]-E422)/E422</f>
        <v>1.8627450980392212E-2</v>
      </c>
    </row>
    <row r="424" spans="1:9">
      <c r="A424" s="1">
        <v>45021</v>
      </c>
      <c r="B424">
        <v>52.1</v>
      </c>
      <c r="C424">
        <v>52.9</v>
      </c>
      <c r="D424">
        <v>51.55</v>
      </c>
      <c r="E424">
        <v>51.7</v>
      </c>
      <c r="F424">
        <v>25497110</v>
      </c>
      <c r="G424">
        <v>76</v>
      </c>
      <c r="H424" s="2">
        <v>-0.31973684210526299</v>
      </c>
      <c r="I424" s="3">
        <f>(Query1[[#This Row],[Close]]-E423)/E423</f>
        <v>-4.8123195380173241E-3</v>
      </c>
    </row>
    <row r="425" spans="1:9">
      <c r="A425" s="1">
        <v>45022</v>
      </c>
      <c r="B425">
        <v>51.75</v>
      </c>
      <c r="C425">
        <v>52.45</v>
      </c>
      <c r="D425">
        <v>51.3</v>
      </c>
      <c r="E425">
        <v>52.15</v>
      </c>
      <c r="F425">
        <v>19695670</v>
      </c>
      <c r="G425">
        <v>76</v>
      </c>
      <c r="H425" s="2">
        <v>-0.31381578947368399</v>
      </c>
      <c r="I425" s="3">
        <f>(Query1[[#This Row],[Close]]-E424)/E424</f>
        <v>8.7040618955511739E-3</v>
      </c>
    </row>
    <row r="426" spans="1:9">
      <c r="A426" s="1">
        <v>45026</v>
      </c>
      <c r="B426">
        <v>52.15</v>
      </c>
      <c r="C426">
        <v>54.2</v>
      </c>
      <c r="D426">
        <v>51.8</v>
      </c>
      <c r="E426">
        <v>53.95</v>
      </c>
      <c r="F426">
        <v>60655410</v>
      </c>
      <c r="G426">
        <v>76</v>
      </c>
      <c r="H426" s="2">
        <v>-0.29013157894736802</v>
      </c>
      <c r="I426" s="3">
        <f>(Query1[[#This Row],[Close]]-E425)/E425</f>
        <v>3.4515819750719164E-2</v>
      </c>
    </row>
    <row r="427" spans="1:9">
      <c r="A427" s="1">
        <v>45027</v>
      </c>
      <c r="B427">
        <v>54.65</v>
      </c>
      <c r="C427">
        <v>55.25</v>
      </c>
      <c r="D427">
        <v>53.25</v>
      </c>
      <c r="E427">
        <v>53.95</v>
      </c>
      <c r="F427">
        <v>41101410</v>
      </c>
      <c r="G427">
        <v>76</v>
      </c>
      <c r="H427" s="2">
        <v>-0.29013157894736802</v>
      </c>
      <c r="I427" s="3">
        <f>(Query1[[#This Row],[Close]]-E426)/E426</f>
        <v>0</v>
      </c>
    </row>
    <row r="428" spans="1:9">
      <c r="A428" s="1">
        <v>45028</v>
      </c>
      <c r="B428">
        <v>54.25</v>
      </c>
      <c r="C428">
        <v>54.25</v>
      </c>
      <c r="D428">
        <v>52.9</v>
      </c>
      <c r="E428">
        <v>53.2</v>
      </c>
      <c r="F428">
        <v>30848060</v>
      </c>
      <c r="G428">
        <v>76</v>
      </c>
      <c r="H428" s="2">
        <v>-0.3</v>
      </c>
      <c r="I428" s="3">
        <f>(Query1[[#This Row],[Close]]-E427)/E427</f>
        <v>-1.3901760889712697E-2</v>
      </c>
    </row>
    <row r="429" spans="1:9">
      <c r="A429" s="1">
        <v>45029</v>
      </c>
      <c r="B429">
        <v>53.2</v>
      </c>
      <c r="C429">
        <v>54.15</v>
      </c>
      <c r="D429">
        <v>52.85</v>
      </c>
      <c r="E429">
        <v>53.85</v>
      </c>
      <c r="F429">
        <v>26646270</v>
      </c>
      <c r="G429">
        <v>76</v>
      </c>
      <c r="H429" s="2">
        <v>-0.29144736842105301</v>
      </c>
      <c r="I429" s="3">
        <f>(Query1[[#This Row],[Close]]-E428)/E428</f>
        <v>1.2218045112781928E-2</v>
      </c>
    </row>
    <row r="430" spans="1:9">
      <c r="A430" s="1">
        <v>45033</v>
      </c>
      <c r="B430">
        <v>54.2</v>
      </c>
      <c r="C430">
        <v>54.25</v>
      </c>
      <c r="D430">
        <v>53</v>
      </c>
      <c r="E430">
        <v>53.95</v>
      </c>
      <c r="F430">
        <v>24787910</v>
      </c>
      <c r="G430">
        <v>76</v>
      </c>
      <c r="H430" s="2">
        <v>-0.29013157894736802</v>
      </c>
      <c r="I430" s="3">
        <f>(Query1[[#This Row],[Close]]-E429)/E429</f>
        <v>1.8570102135562008E-3</v>
      </c>
    </row>
    <row r="431" spans="1:9">
      <c r="A431" s="1">
        <v>45034</v>
      </c>
      <c r="B431">
        <v>54.05</v>
      </c>
      <c r="C431">
        <v>54.2</v>
      </c>
      <c r="D431">
        <v>53.05</v>
      </c>
      <c r="E431">
        <v>53.3</v>
      </c>
      <c r="F431">
        <v>27617600</v>
      </c>
      <c r="G431">
        <v>76</v>
      </c>
      <c r="H431" s="2">
        <v>-0.298684210526316</v>
      </c>
      <c r="I431" s="3">
        <f>(Query1[[#This Row],[Close]]-E430)/E430</f>
        <v>-1.2048192771084442E-2</v>
      </c>
    </row>
    <row r="432" spans="1:9">
      <c r="A432" s="1">
        <v>45035</v>
      </c>
      <c r="B432">
        <v>53.6</v>
      </c>
      <c r="C432">
        <v>55.95</v>
      </c>
      <c r="D432">
        <v>53.2</v>
      </c>
      <c r="E432">
        <v>54.15</v>
      </c>
      <c r="F432">
        <v>62022920</v>
      </c>
      <c r="G432">
        <v>76</v>
      </c>
      <c r="H432" s="2">
        <v>-0.28749999999999998</v>
      </c>
      <c r="I432" s="3">
        <f>(Query1[[#This Row],[Close]]-E431)/E431</f>
        <v>1.5947467166979389E-2</v>
      </c>
    </row>
    <row r="433" spans="1:9">
      <c r="A433" s="1">
        <v>45036</v>
      </c>
      <c r="B433">
        <v>54.15</v>
      </c>
      <c r="C433">
        <v>54.4</v>
      </c>
      <c r="D433">
        <v>53.65</v>
      </c>
      <c r="E433">
        <v>54.2</v>
      </c>
      <c r="F433">
        <v>23096040</v>
      </c>
      <c r="G433">
        <v>76</v>
      </c>
      <c r="H433" s="2">
        <v>-0.28684210526315801</v>
      </c>
      <c r="I433" s="3">
        <f>(Query1[[#This Row],[Close]]-E432)/E432</f>
        <v>9.2336103416443705E-4</v>
      </c>
    </row>
    <row r="434" spans="1:9">
      <c r="A434" s="1">
        <v>45037</v>
      </c>
      <c r="B434">
        <v>54.3</v>
      </c>
      <c r="C434">
        <v>56.75</v>
      </c>
      <c r="D434">
        <v>54.1</v>
      </c>
      <c r="E434">
        <v>56.05</v>
      </c>
      <c r="F434">
        <v>106707900</v>
      </c>
      <c r="G434">
        <v>76</v>
      </c>
      <c r="H434" s="2">
        <v>-0.26250000000000001</v>
      </c>
      <c r="I434" s="3">
        <f>(Query1[[#This Row],[Close]]-E433)/E433</f>
        <v>3.4132841328413176E-2</v>
      </c>
    </row>
    <row r="435" spans="1:9">
      <c r="A435" s="1">
        <v>45040</v>
      </c>
      <c r="B435">
        <v>55.5</v>
      </c>
      <c r="C435">
        <v>56.4</v>
      </c>
      <c r="D435">
        <v>54.7</v>
      </c>
      <c r="E435">
        <v>56</v>
      </c>
      <c r="F435">
        <v>43287480</v>
      </c>
      <c r="G435">
        <v>76</v>
      </c>
      <c r="H435" s="2">
        <v>-0.26315789473684198</v>
      </c>
      <c r="I435" s="3">
        <f>(Query1[[#This Row],[Close]]-E434)/E434</f>
        <v>-8.9206066012483779E-4</v>
      </c>
    </row>
    <row r="436" spans="1:9">
      <c r="A436" s="1">
        <v>45041</v>
      </c>
      <c r="B436">
        <v>56.4</v>
      </c>
      <c r="C436">
        <v>60.6</v>
      </c>
      <c r="D436">
        <v>56.2</v>
      </c>
      <c r="E436">
        <v>57.75</v>
      </c>
      <c r="F436">
        <v>199056100</v>
      </c>
      <c r="G436">
        <v>76</v>
      </c>
      <c r="H436" s="2">
        <v>-0.240131578947368</v>
      </c>
      <c r="I436" s="3">
        <f>(Query1[[#This Row],[Close]]-E435)/E435</f>
        <v>3.125E-2</v>
      </c>
    </row>
    <row r="437" spans="1:9">
      <c r="A437" s="1">
        <v>45042</v>
      </c>
      <c r="B437">
        <v>58.1</v>
      </c>
      <c r="C437">
        <v>59</v>
      </c>
      <c r="D437">
        <v>57.1</v>
      </c>
      <c r="E437">
        <v>58.2</v>
      </c>
      <c r="F437">
        <v>59765910</v>
      </c>
      <c r="G437">
        <v>76</v>
      </c>
      <c r="H437" s="2">
        <v>-0.23421052631578901</v>
      </c>
      <c r="I437" s="3">
        <f>(Query1[[#This Row],[Close]]-E436)/E436</f>
        <v>7.7922077922078416E-3</v>
      </c>
    </row>
    <row r="438" spans="1:9">
      <c r="A438" s="1">
        <v>45043</v>
      </c>
      <c r="B438">
        <v>58.6</v>
      </c>
      <c r="C438">
        <v>61.15</v>
      </c>
      <c r="D438">
        <v>58.35</v>
      </c>
      <c r="E438">
        <v>60.7</v>
      </c>
      <c r="F438">
        <v>82969100</v>
      </c>
      <c r="G438">
        <v>76</v>
      </c>
      <c r="H438" s="2">
        <v>-0.201315789473684</v>
      </c>
      <c r="I438" s="3">
        <f>(Query1[[#This Row],[Close]]-E437)/E437</f>
        <v>4.29553264604811E-2</v>
      </c>
    </row>
    <row r="439" spans="1:9">
      <c r="A439" s="1">
        <v>45044</v>
      </c>
      <c r="B439">
        <v>60.8</v>
      </c>
      <c r="C439">
        <v>66</v>
      </c>
      <c r="D439">
        <v>59.55</v>
      </c>
      <c r="E439">
        <v>64.900000000000006</v>
      </c>
      <c r="F439">
        <v>190938200</v>
      </c>
      <c r="G439">
        <v>76</v>
      </c>
      <c r="H439" s="2">
        <v>-0.14605263157894699</v>
      </c>
      <c r="I439" s="3">
        <f>(Query1[[#This Row],[Close]]-E438)/E438</f>
        <v>6.9192751235584882E-2</v>
      </c>
    </row>
    <row r="440" spans="1:9">
      <c r="A440" s="1">
        <v>45048</v>
      </c>
      <c r="B440">
        <v>64.5</v>
      </c>
      <c r="C440">
        <v>65.650000000000006</v>
      </c>
      <c r="D440">
        <v>63.05</v>
      </c>
      <c r="E440">
        <v>63.45</v>
      </c>
      <c r="F440">
        <v>112758200</v>
      </c>
      <c r="G440">
        <v>76</v>
      </c>
      <c r="H440" s="2">
        <v>-0.16513157894736799</v>
      </c>
      <c r="I440" s="3">
        <f>(Query1[[#This Row],[Close]]-E439)/E439</f>
        <v>-2.2342064714946111E-2</v>
      </c>
    </row>
    <row r="441" spans="1:9">
      <c r="A441" s="1">
        <v>45049</v>
      </c>
      <c r="B441">
        <v>63.45</v>
      </c>
      <c r="C441">
        <v>64.95</v>
      </c>
      <c r="D441">
        <v>63.15</v>
      </c>
      <c r="E441">
        <v>63.55</v>
      </c>
      <c r="F441">
        <v>65082310</v>
      </c>
      <c r="G441">
        <v>76</v>
      </c>
      <c r="H441" s="2">
        <v>-0.163815789473684</v>
      </c>
      <c r="I441" s="3">
        <f>(Query1[[#This Row],[Close]]-E440)/E440</f>
        <v>1.5760441292355289E-3</v>
      </c>
    </row>
    <row r="442" spans="1:9">
      <c r="A442" s="1">
        <v>45050</v>
      </c>
      <c r="B442">
        <v>63.5</v>
      </c>
      <c r="C442">
        <v>66.599999999999994</v>
      </c>
      <c r="D442">
        <v>63.35</v>
      </c>
      <c r="E442">
        <v>65.7</v>
      </c>
      <c r="F442">
        <v>123042300</v>
      </c>
      <c r="G442">
        <v>76</v>
      </c>
      <c r="H442" s="2">
        <v>-0.13552631578947399</v>
      </c>
      <c r="I442" s="3">
        <f>(Query1[[#This Row],[Close]]-E441)/E441</f>
        <v>3.3831628638867121E-2</v>
      </c>
    </row>
    <row r="443" spans="1:9">
      <c r="A443" s="1">
        <v>45051</v>
      </c>
      <c r="B443">
        <v>65.5</v>
      </c>
      <c r="C443">
        <v>66.7</v>
      </c>
      <c r="D443">
        <v>64.25</v>
      </c>
      <c r="E443">
        <v>65.400000000000006</v>
      </c>
      <c r="F443">
        <v>94016130</v>
      </c>
      <c r="G443">
        <v>76</v>
      </c>
      <c r="H443" s="2">
        <v>-0.139473684210526</v>
      </c>
      <c r="I443" s="3">
        <f>(Query1[[#This Row],[Close]]-E442)/E442</f>
        <v>-4.5662100456620568E-3</v>
      </c>
    </row>
    <row r="444" spans="1:9">
      <c r="A444" s="1">
        <v>45054</v>
      </c>
      <c r="B444">
        <v>64.599999999999994</v>
      </c>
      <c r="C444">
        <v>66.2</v>
      </c>
      <c r="D444">
        <v>63.5</v>
      </c>
      <c r="E444">
        <v>64.900000000000006</v>
      </c>
      <c r="F444">
        <v>104940600</v>
      </c>
      <c r="G444">
        <v>76</v>
      </c>
      <c r="H444" s="2">
        <v>-0.14605263157894699</v>
      </c>
      <c r="I444" s="3">
        <f>(Query1[[#This Row],[Close]]-E443)/E443</f>
        <v>-7.6452599388379195E-3</v>
      </c>
    </row>
    <row r="445" spans="1:9">
      <c r="A445" s="1">
        <v>45055</v>
      </c>
      <c r="B445">
        <v>64.7</v>
      </c>
      <c r="C445">
        <v>64.7</v>
      </c>
      <c r="D445">
        <v>60.3</v>
      </c>
      <c r="E445">
        <v>60.95</v>
      </c>
      <c r="F445">
        <v>127854800</v>
      </c>
      <c r="G445">
        <v>76</v>
      </c>
      <c r="H445" s="2">
        <v>-0.19802631578947399</v>
      </c>
      <c r="I445" s="3">
        <f>(Query1[[#This Row],[Close]]-E444)/E444</f>
        <v>-6.0862865947611748E-2</v>
      </c>
    </row>
    <row r="446" spans="1:9">
      <c r="A446" s="1">
        <v>45056</v>
      </c>
      <c r="B446">
        <v>61</v>
      </c>
      <c r="C446">
        <v>62.9</v>
      </c>
      <c r="D446">
        <v>60.95</v>
      </c>
      <c r="E446">
        <v>61.8</v>
      </c>
      <c r="F446">
        <v>70220890</v>
      </c>
      <c r="G446">
        <v>76</v>
      </c>
      <c r="H446" s="2">
        <v>-0.186842105263158</v>
      </c>
      <c r="I446" s="3">
        <f>(Query1[[#This Row],[Close]]-E445)/E445</f>
        <v>1.3945857260049127E-2</v>
      </c>
    </row>
    <row r="447" spans="1:9">
      <c r="A447" s="1">
        <v>45057</v>
      </c>
      <c r="B447">
        <v>62.6</v>
      </c>
      <c r="C447">
        <v>63.5</v>
      </c>
      <c r="D447">
        <v>62</v>
      </c>
      <c r="E447">
        <v>62.4</v>
      </c>
      <c r="F447">
        <v>75062850</v>
      </c>
      <c r="G447">
        <v>76</v>
      </c>
      <c r="H447" s="2">
        <v>-0.17894736842105299</v>
      </c>
      <c r="I447" s="3">
        <f>(Query1[[#This Row],[Close]]-E446)/E446</f>
        <v>9.7087378640776933E-3</v>
      </c>
    </row>
    <row r="448" spans="1:9">
      <c r="A448" s="1">
        <v>45058</v>
      </c>
      <c r="B448">
        <v>62.5</v>
      </c>
      <c r="C448">
        <v>63.65</v>
      </c>
      <c r="D448">
        <v>61.6</v>
      </c>
      <c r="E448">
        <v>62.6</v>
      </c>
      <c r="F448">
        <v>73164520</v>
      </c>
      <c r="G448">
        <v>76</v>
      </c>
      <c r="H448" s="2">
        <v>-0.17631578947368401</v>
      </c>
      <c r="I448" s="3">
        <f>(Query1[[#This Row],[Close]]-E447)/E447</f>
        <v>3.2051282051282506E-3</v>
      </c>
    </row>
    <row r="449" spans="1:9">
      <c r="A449" s="1">
        <v>45061</v>
      </c>
      <c r="B449">
        <v>62.1</v>
      </c>
      <c r="C449">
        <v>64.099999999999994</v>
      </c>
      <c r="D449">
        <v>61.95</v>
      </c>
      <c r="E449">
        <v>63.7</v>
      </c>
      <c r="F449">
        <v>55886000</v>
      </c>
      <c r="G449">
        <v>76</v>
      </c>
      <c r="H449" s="2">
        <v>-0.16184210526315801</v>
      </c>
      <c r="I449" s="3">
        <f>(Query1[[#This Row],[Close]]-E448)/E448</f>
        <v>1.7571884984025583E-2</v>
      </c>
    </row>
    <row r="450" spans="1:9">
      <c r="A450" s="1">
        <v>45062</v>
      </c>
      <c r="B450">
        <v>64</v>
      </c>
      <c r="C450">
        <v>65</v>
      </c>
      <c r="D450">
        <v>62.4</v>
      </c>
      <c r="E450">
        <v>63</v>
      </c>
      <c r="F450">
        <v>59311530</v>
      </c>
      <c r="G450">
        <v>76</v>
      </c>
      <c r="H450" s="2">
        <v>-0.17105263157894701</v>
      </c>
      <c r="I450" s="3">
        <f>(Query1[[#This Row],[Close]]-E449)/E449</f>
        <v>-1.0989010989011033E-2</v>
      </c>
    </row>
    <row r="451" spans="1:9">
      <c r="A451" s="1">
        <v>45063</v>
      </c>
      <c r="B451">
        <v>63</v>
      </c>
      <c r="C451">
        <v>64.05</v>
      </c>
      <c r="D451">
        <v>62.25</v>
      </c>
      <c r="E451">
        <v>63.35</v>
      </c>
      <c r="F451">
        <v>47444520</v>
      </c>
      <c r="G451">
        <v>76</v>
      </c>
      <c r="H451" s="2">
        <v>-0.16644736842105301</v>
      </c>
      <c r="I451" s="3">
        <f>(Query1[[#This Row],[Close]]-E450)/E450</f>
        <v>5.5555555555555783E-3</v>
      </c>
    </row>
    <row r="452" spans="1:9">
      <c r="A452" s="1">
        <v>45064</v>
      </c>
      <c r="B452">
        <v>64.2</v>
      </c>
      <c r="C452">
        <v>64.599999999999994</v>
      </c>
      <c r="D452">
        <v>63.1</v>
      </c>
      <c r="E452">
        <v>63.5</v>
      </c>
      <c r="F452">
        <v>54301847</v>
      </c>
      <c r="G452">
        <v>76</v>
      </c>
      <c r="H452" s="2">
        <f>(Query1[[#This Row],[Close]]-Query1[[#This Row],[IPO ISSUE PRICE]])/Query1[[#This Row],[IPO ISSUE PRICE]]</f>
        <v>-0.16447368421052633</v>
      </c>
      <c r="I452" s="3">
        <f>(Query1[[#This Row],[Close]]-E451)/E451</f>
        <v>2.3677979479084228E-3</v>
      </c>
    </row>
    <row r="453" spans="1:9">
      <c r="A453" s="1">
        <v>45065</v>
      </c>
      <c r="B453">
        <v>63.95</v>
      </c>
      <c r="C453">
        <v>65</v>
      </c>
      <c r="D453">
        <v>63.2</v>
      </c>
      <c r="E453">
        <v>64.5</v>
      </c>
      <c r="F453">
        <v>73620030</v>
      </c>
      <c r="G453">
        <v>76</v>
      </c>
      <c r="H453" s="2">
        <f>(Query1[[#This Row],[Close]]-Query1[[#This Row],[IPO ISSUE PRICE]])/Query1[[#This Row],[IPO ISSUE PRICE]]</f>
        <v>-0.15131578947368421</v>
      </c>
      <c r="I453" s="3">
        <f>(Query1[[#This Row],[Close]]-E452)/E452</f>
        <v>1.5748031496062992E-2</v>
      </c>
    </row>
    <row r="454" spans="1:9">
      <c r="A454" s="1">
        <v>45068</v>
      </c>
      <c r="B454">
        <v>64.7</v>
      </c>
      <c r="C454">
        <v>66.849999999999994</v>
      </c>
      <c r="D454">
        <v>61.8</v>
      </c>
      <c r="E454">
        <v>63.5</v>
      </c>
      <c r="F454">
        <v>147006600</v>
      </c>
      <c r="G454">
        <v>76</v>
      </c>
      <c r="H454" s="2">
        <f>(Query1[[#This Row],[Close]]-Query1[[#This Row],[IPO ISSUE PRICE]])/Query1[[#This Row],[IPO ISSUE PRICE]]</f>
        <v>-0.16447368421052633</v>
      </c>
      <c r="I454" s="3">
        <f>(Query1[[#This Row],[Close]]-E453)/E453</f>
        <v>-1.5503875968992248E-2</v>
      </c>
    </row>
    <row r="455" spans="1:9">
      <c r="A455" s="1">
        <v>45069</v>
      </c>
      <c r="B455">
        <v>63.05</v>
      </c>
      <c r="C455">
        <v>64</v>
      </c>
      <c r="D455">
        <v>62.55</v>
      </c>
      <c r="E455">
        <v>63.2</v>
      </c>
      <c r="F455">
        <v>50797750</v>
      </c>
      <c r="G455">
        <v>76</v>
      </c>
      <c r="H455" s="2">
        <f>(Query1[[#This Row],[Close]]-Query1[[#This Row],[IPO ISSUE PRICE]])/Query1[[#This Row],[IPO ISSUE PRICE]]</f>
        <v>-0.16842105263157892</v>
      </c>
      <c r="I455" s="3">
        <f>(Query1[[#This Row],[Close]]-E454)/E454</f>
        <v>-4.7244094488188525E-3</v>
      </c>
    </row>
    <row r="456" spans="1:9">
      <c r="A456" s="1">
        <v>45070</v>
      </c>
      <c r="B456">
        <v>63</v>
      </c>
      <c r="C456">
        <v>64.7</v>
      </c>
      <c r="D456">
        <v>62.75</v>
      </c>
      <c r="E456">
        <v>64.45</v>
      </c>
      <c r="F456">
        <v>60476720</v>
      </c>
      <c r="G456">
        <v>76</v>
      </c>
      <c r="H456" s="2">
        <f>(Query1[[#This Row],[Close]]-Query1[[#This Row],[IPO ISSUE PRICE]])/Query1[[#This Row],[IPO ISSUE PRICE]]</f>
        <v>-0.15197368421052629</v>
      </c>
      <c r="I456" s="3">
        <f>(Query1[[#This Row],[Close]]-E455)/E455</f>
        <v>1.9778481012658226E-2</v>
      </c>
    </row>
    <row r="457" spans="1:9">
      <c r="A457" s="1">
        <v>45071</v>
      </c>
      <c r="B457">
        <v>64.8</v>
      </c>
      <c r="C457">
        <v>68.2</v>
      </c>
      <c r="D457">
        <v>64.5</v>
      </c>
      <c r="E457">
        <v>67.3</v>
      </c>
      <c r="F457">
        <v>139721300</v>
      </c>
      <c r="G457">
        <v>76</v>
      </c>
      <c r="H457" s="2">
        <f>(Query1[[#This Row],[Close]]-Query1[[#This Row],[IPO ISSUE PRICE]])/Query1[[#This Row],[IPO ISSUE PRICE]]</f>
        <v>-0.11447368421052635</v>
      </c>
      <c r="I457" s="3">
        <f>(Query1[[#This Row],[Close]]-E456)/E456</f>
        <v>4.4220325833979737E-2</v>
      </c>
    </row>
    <row r="458" spans="1:9">
      <c r="A458" s="1">
        <v>45072</v>
      </c>
      <c r="B458">
        <v>67.3</v>
      </c>
      <c r="C458">
        <v>68.25</v>
      </c>
      <c r="D458">
        <v>65.75</v>
      </c>
      <c r="E458">
        <v>67.25</v>
      </c>
      <c r="F458">
        <v>86466130</v>
      </c>
      <c r="G458">
        <v>76</v>
      </c>
      <c r="H458" s="2">
        <f>(Query1[[#This Row],[Close]]-Query1[[#This Row],[IPO ISSUE PRICE]])/Query1[[#This Row],[IPO ISSUE PRICE]]</f>
        <v>-0.11513157894736842</v>
      </c>
      <c r="I458" s="3">
        <f>(Query1[[#This Row],[Close]]-E457)/E457</f>
        <v>-7.4294205052001722E-4</v>
      </c>
    </row>
    <row r="459" spans="1:9">
      <c r="A459" s="1">
        <v>45075</v>
      </c>
      <c r="B459">
        <v>67.8</v>
      </c>
      <c r="C459">
        <v>68.400000000000006</v>
      </c>
      <c r="D459">
        <v>66.599999999999994</v>
      </c>
      <c r="E459">
        <v>67.099999999999994</v>
      </c>
      <c r="F459">
        <v>56968141</v>
      </c>
      <c r="G459">
        <v>76</v>
      </c>
      <c r="H459" s="2">
        <f>(Query1[[#This Row],[Close]]-Query1[[#This Row],[IPO ISSUE PRICE]])/Query1[[#This Row],[IPO ISSUE PRICE]]</f>
        <v>-0.11710526315789481</v>
      </c>
      <c r="I459" s="3">
        <f>(Query1[[#This Row],[Close]]-E458)/E458</f>
        <v>-2.2304832713755493E-3</v>
      </c>
    </row>
    <row r="460" spans="1:9">
      <c r="A460" s="1">
        <v>45076</v>
      </c>
      <c r="B460">
        <v>67.5</v>
      </c>
      <c r="C460">
        <v>68.3</v>
      </c>
      <c r="D460">
        <v>66.45</v>
      </c>
      <c r="E460">
        <v>66.849999999999994</v>
      </c>
      <c r="F460">
        <v>60699580</v>
      </c>
      <c r="G460">
        <v>76</v>
      </c>
      <c r="H460" s="2">
        <f>(Query1[[#This Row],[Close]]-Query1[[#This Row],[IPO ISSUE PRICE]])/Query1[[#This Row],[IPO ISSUE PRICE]]</f>
        <v>-0.12039473684210533</v>
      </c>
      <c r="I460" s="3">
        <f>(Query1[[#This Row],[Close]]-E459)/E459</f>
        <v>-3.7257824143070049E-3</v>
      </c>
    </row>
    <row r="461" spans="1:9">
      <c r="A461" s="1">
        <v>45077</v>
      </c>
      <c r="B461">
        <v>67.3</v>
      </c>
      <c r="C461">
        <v>70</v>
      </c>
      <c r="D461">
        <v>66.3</v>
      </c>
      <c r="E461">
        <v>69.05</v>
      </c>
      <c r="F461">
        <v>251813300</v>
      </c>
      <c r="G461">
        <v>76</v>
      </c>
      <c r="H461" s="2">
        <f>(Query1[[#This Row],[Close]]-Query1[[#This Row],[IPO ISSUE PRICE]])/Query1[[#This Row],[IPO ISSUE PRICE]]</f>
        <v>-9.1447368421052666E-2</v>
      </c>
      <c r="I461" s="3">
        <f>(Query1[[#This Row],[Close]]-E460)/E460</f>
        <v>3.2909498878085308E-2</v>
      </c>
    </row>
    <row r="462" spans="1:9">
      <c r="A462" s="1">
        <v>45078</v>
      </c>
      <c r="B462">
        <v>68.7</v>
      </c>
      <c r="C462">
        <v>68.8</v>
      </c>
      <c r="D462">
        <v>67.599999999999994</v>
      </c>
      <c r="E462">
        <v>67.95</v>
      </c>
      <c r="F462">
        <v>57846080</v>
      </c>
      <c r="G462">
        <v>76</v>
      </c>
      <c r="H462" s="2">
        <f>(Query1[[#This Row],[Close]]-Query1[[#This Row],[IPO ISSUE PRICE]])/Query1[[#This Row],[IPO ISSUE PRICE]]</f>
        <v>-0.10592105263157892</v>
      </c>
      <c r="I462" s="3">
        <f>(Query1[[#This Row],[Close]]-E461)/E461</f>
        <v>-1.5930485155684206E-2</v>
      </c>
    </row>
    <row r="463" spans="1:9">
      <c r="A463" s="1">
        <v>45079</v>
      </c>
      <c r="B463">
        <v>70</v>
      </c>
      <c r="C463">
        <v>73.2</v>
      </c>
      <c r="D463">
        <v>69.5</v>
      </c>
      <c r="E463">
        <v>71.150000000000006</v>
      </c>
      <c r="F463">
        <v>170769100</v>
      </c>
      <c r="G463">
        <v>76</v>
      </c>
      <c r="H463" s="2">
        <f>(Query1[[#This Row],[Close]]-Query1[[#This Row],[IPO ISSUE PRICE]])/Query1[[#This Row],[IPO ISSUE PRICE]]</f>
        <v>-6.3815789473684131E-2</v>
      </c>
      <c r="I463" s="3">
        <f>(Query1[[#This Row],[Close]]-E462)/E462</f>
        <v>4.7093451066961042E-2</v>
      </c>
    </row>
    <row r="464" spans="1:9">
      <c r="A464" s="1">
        <v>45082</v>
      </c>
      <c r="B464">
        <v>71.3</v>
      </c>
      <c r="C464">
        <v>72.150000000000006</v>
      </c>
      <c r="D464">
        <v>69.599999999999994</v>
      </c>
      <c r="E464">
        <v>71.25</v>
      </c>
      <c r="F464">
        <v>84075160</v>
      </c>
      <c r="G464">
        <v>76</v>
      </c>
      <c r="H464" s="2">
        <f>(Query1[[#This Row],[Close]]-Query1[[#This Row],[IPO ISSUE PRICE]])/Query1[[#This Row],[IPO ISSUE PRICE]]</f>
        <v>-6.25E-2</v>
      </c>
      <c r="I464" s="3">
        <f>(Query1[[#This Row],[Close]]-E463)/E463</f>
        <v>1.4054813773716698E-3</v>
      </c>
    </row>
    <row r="465" spans="1:9">
      <c r="A465" s="1">
        <v>45083</v>
      </c>
      <c r="B465">
        <v>71.55</v>
      </c>
      <c r="C465">
        <v>73.150000000000006</v>
      </c>
      <c r="D465">
        <v>71.349999999999994</v>
      </c>
      <c r="E465">
        <v>72.349999999999994</v>
      </c>
      <c r="F465">
        <v>64762950</v>
      </c>
      <c r="G465">
        <v>76</v>
      </c>
      <c r="H465" s="2">
        <f>(Query1[[#This Row],[Close]]-Query1[[#This Row],[IPO ISSUE PRICE]])/Query1[[#This Row],[IPO ISSUE PRICE]]</f>
        <v>-4.8026315789473757E-2</v>
      </c>
      <c r="I465" s="3">
        <f>(Query1[[#This Row],[Close]]-E464)/E464</f>
        <v>1.5438596491227991E-2</v>
      </c>
    </row>
    <row r="466" spans="1:9">
      <c r="A466" s="1">
        <v>45084</v>
      </c>
      <c r="B466">
        <v>72.5</v>
      </c>
      <c r="C466">
        <v>75</v>
      </c>
      <c r="D466">
        <v>72.400000000000006</v>
      </c>
      <c r="E466">
        <v>74.5</v>
      </c>
      <c r="F466">
        <v>67871840</v>
      </c>
      <c r="G466">
        <v>76</v>
      </c>
      <c r="H466" s="2">
        <f>(Query1[[#This Row],[Close]]-Query1[[#This Row],[IPO ISSUE PRICE]])/Query1[[#This Row],[IPO ISSUE PRICE]]</f>
        <v>-1.9736842105263157E-2</v>
      </c>
      <c r="I466" s="3">
        <f>(Query1[[#This Row],[Close]]-E465)/E465</f>
        <v>2.9716655148583355E-2</v>
      </c>
    </row>
    <row r="467" spans="1:9">
      <c r="A467" s="1">
        <v>45085</v>
      </c>
      <c r="B467">
        <v>74.8</v>
      </c>
      <c r="C467">
        <v>76.349999999999994</v>
      </c>
      <c r="D467">
        <v>73.7</v>
      </c>
      <c r="E467">
        <v>75.8</v>
      </c>
      <c r="F467">
        <v>88006840</v>
      </c>
      <c r="G467">
        <v>76</v>
      </c>
      <c r="H467" s="2">
        <f>(Query1[[#This Row],[Close]]-Query1[[#This Row],[IPO ISSUE PRICE]])/Query1[[#This Row],[IPO ISSUE PRICE]]</f>
        <v>-2.6315789473684583E-3</v>
      </c>
      <c r="I467" s="3">
        <f>(Query1[[#This Row],[Close]]-E466)/E466</f>
        <v>1.7449664429530162E-2</v>
      </c>
    </row>
    <row r="468" spans="1:9">
      <c r="A468" s="1">
        <v>45086</v>
      </c>
      <c r="B468">
        <v>77.05</v>
      </c>
      <c r="C468">
        <v>78</v>
      </c>
      <c r="D468">
        <v>75.849999999999994</v>
      </c>
      <c r="E468">
        <v>77.599999999999994</v>
      </c>
      <c r="F468">
        <v>77276800</v>
      </c>
      <c r="G468">
        <v>76</v>
      </c>
      <c r="H468" s="2">
        <f>(Query1[[#This Row],[Close]]-Query1[[#This Row],[IPO ISSUE PRICE]])/Query1[[#This Row],[IPO ISSUE PRICE]]</f>
        <v>2.1052631578947295E-2</v>
      </c>
      <c r="I468" s="3">
        <f>(Query1[[#This Row],[Close]]-E467)/E467</f>
        <v>2.3746701846965663E-2</v>
      </c>
    </row>
    <row r="469" spans="1:9">
      <c r="A469" s="1">
        <v>45089</v>
      </c>
      <c r="B469">
        <v>78.3</v>
      </c>
      <c r="C469">
        <v>80.3</v>
      </c>
      <c r="D469">
        <v>76.5</v>
      </c>
      <c r="E469">
        <v>77.95</v>
      </c>
      <c r="F469">
        <v>105388100</v>
      </c>
      <c r="G469">
        <v>76</v>
      </c>
      <c r="H469" s="2">
        <f>(Query1[[#This Row],[Close]]-Query1[[#This Row],[IPO ISSUE PRICE]])/Query1[[#This Row],[IPO ISSUE PRICE]]</f>
        <v>2.5657894736842143E-2</v>
      </c>
      <c r="I469" s="3">
        <f>(Query1[[#This Row],[Close]]-E468)/E468</f>
        <v>4.5103092783506261E-3</v>
      </c>
    </row>
    <row r="470" spans="1:9">
      <c r="A470" s="1">
        <v>45090</v>
      </c>
      <c r="B470">
        <v>77.900000000000006</v>
      </c>
      <c r="C470">
        <v>78.8</v>
      </c>
      <c r="D470">
        <v>76.7</v>
      </c>
      <c r="E470">
        <v>78.3</v>
      </c>
      <c r="F470">
        <v>81857150</v>
      </c>
      <c r="G470">
        <v>76</v>
      </c>
      <c r="H470" s="2">
        <f>(Query1[[#This Row],[Close]]-Query1[[#This Row],[IPO ISSUE PRICE]])/Query1[[#This Row],[IPO ISSUE PRICE]]</f>
        <v>3.0263157894736804E-2</v>
      </c>
      <c r="I470" s="3">
        <f>(Query1[[#This Row],[Close]]-E469)/E469</f>
        <v>4.4900577293135891E-3</v>
      </c>
    </row>
    <row r="471" spans="1:9">
      <c r="A471" s="1">
        <v>45091</v>
      </c>
      <c r="B471">
        <v>78.3</v>
      </c>
      <c r="C471">
        <v>78.45</v>
      </c>
      <c r="D471">
        <v>73.25</v>
      </c>
      <c r="E471">
        <v>74.099999999999994</v>
      </c>
      <c r="F471">
        <v>83186940</v>
      </c>
      <c r="G471">
        <v>76</v>
      </c>
      <c r="H471" s="2">
        <f>(Query1[[#This Row],[Close]]-Query1[[#This Row],[IPO ISSUE PRICE]])/Query1[[#This Row],[IPO ISSUE PRICE]]</f>
        <v>-2.5000000000000074E-2</v>
      </c>
      <c r="I471" s="3">
        <f>(Query1[[#This Row],[Close]]-E470)/E470</f>
        <v>-5.3639846743295055E-2</v>
      </c>
    </row>
    <row r="472" spans="1:9">
      <c r="A472" s="1">
        <v>45092</v>
      </c>
      <c r="B472">
        <v>74.5</v>
      </c>
      <c r="C472">
        <v>76.099999999999994</v>
      </c>
      <c r="D472">
        <v>73.099999999999994</v>
      </c>
      <c r="E472">
        <v>75.099999999999994</v>
      </c>
      <c r="F472">
        <v>93321130</v>
      </c>
      <c r="G472">
        <v>76</v>
      </c>
      <c r="H472" s="2">
        <f>(Query1[[#This Row],[Close]]-Query1[[#This Row],[IPO ISSUE PRICE]])/Query1[[#This Row],[IPO ISSUE PRICE]]</f>
        <v>-1.184210526315797E-2</v>
      </c>
      <c r="I472" s="3">
        <f>(Query1[[#This Row],[Close]]-E471)/E471</f>
        <v>1.3495276653171391E-2</v>
      </c>
    </row>
    <row r="473" spans="1:9">
      <c r="A473" s="1">
        <v>45093</v>
      </c>
      <c r="B473">
        <v>75.55</v>
      </c>
      <c r="C473">
        <v>76</v>
      </c>
      <c r="D473">
        <v>73.900000000000006</v>
      </c>
      <c r="E473">
        <v>74.45</v>
      </c>
      <c r="F473">
        <v>45783610</v>
      </c>
      <c r="G473">
        <v>76</v>
      </c>
      <c r="H473" s="2">
        <f>(Query1[[#This Row],[Close]]-Query1[[#This Row],[IPO ISSUE PRICE]])/Query1[[#This Row],[IPO ISSUE PRICE]]</f>
        <v>-2.0394736842105226E-2</v>
      </c>
      <c r="I473" s="3">
        <f>(Query1[[#This Row],[Close]]-E472)/E472</f>
        <v>-8.6551264980025498E-3</v>
      </c>
    </row>
    <row r="474" spans="1:9">
      <c r="A474" s="1">
        <v>45096</v>
      </c>
      <c r="B474">
        <v>74.599999999999994</v>
      </c>
      <c r="C474">
        <v>77</v>
      </c>
      <c r="D474">
        <v>74.099999999999994</v>
      </c>
      <c r="E474">
        <v>75.849999999999994</v>
      </c>
      <c r="F474">
        <v>62744980</v>
      </c>
      <c r="G474">
        <v>76</v>
      </c>
      <c r="H474" s="2">
        <f>(Query1[[#This Row],[Close]]-Query1[[#This Row],[IPO ISSUE PRICE]])/Query1[[#This Row],[IPO ISSUE PRICE]]</f>
        <v>-1.9736842105263904E-3</v>
      </c>
      <c r="I474" s="3">
        <f>(Query1[[#This Row],[Close]]-E473)/E473</f>
        <v>1.8804566823371276E-2</v>
      </c>
    </row>
    <row r="475" spans="1:9">
      <c r="A475" s="1">
        <v>45097</v>
      </c>
      <c r="B475">
        <v>76</v>
      </c>
      <c r="C475">
        <v>76.400000000000006</v>
      </c>
      <c r="D475">
        <v>74.8</v>
      </c>
      <c r="E475">
        <v>75.849999999999994</v>
      </c>
      <c r="F475">
        <v>30591590</v>
      </c>
      <c r="G475">
        <v>76</v>
      </c>
      <c r="H475" s="2">
        <f>(Query1[[#This Row],[Close]]-Query1[[#This Row],[IPO ISSUE PRICE]])/Query1[[#This Row],[IPO ISSUE PRICE]]</f>
        <v>-1.9736842105263904E-3</v>
      </c>
      <c r="I475" s="3">
        <f>(Query1[[#This Row],[Close]]-E474)/E474</f>
        <v>0</v>
      </c>
    </row>
    <row r="476" spans="1:9">
      <c r="A476" s="1">
        <v>45098</v>
      </c>
      <c r="B476">
        <v>76.099999999999994</v>
      </c>
      <c r="C476">
        <v>77.349999999999994</v>
      </c>
      <c r="D476">
        <v>74.650000000000006</v>
      </c>
      <c r="E476">
        <v>75.099999999999994</v>
      </c>
      <c r="F476">
        <v>31896510</v>
      </c>
      <c r="G476">
        <v>76</v>
      </c>
      <c r="H476" s="2">
        <f>(Query1[[#This Row],[Close]]-Query1[[#This Row],[IPO ISSUE PRICE]])/Query1[[#This Row],[IPO ISSUE PRICE]]</f>
        <v>-1.184210526315797E-2</v>
      </c>
      <c r="I476" s="3">
        <f>(Query1[[#This Row],[Close]]-E475)/E475</f>
        <v>-9.8879367172050106E-3</v>
      </c>
    </row>
    <row r="477" spans="1:9">
      <c r="A477" s="1">
        <v>45099</v>
      </c>
      <c r="B477">
        <v>75.5</v>
      </c>
      <c r="C477">
        <v>75.849999999999994</v>
      </c>
      <c r="D477">
        <v>73.650000000000006</v>
      </c>
      <c r="E477">
        <v>74.349999999999994</v>
      </c>
      <c r="F477">
        <v>40419760</v>
      </c>
      <c r="G477">
        <v>76</v>
      </c>
      <c r="H477" s="2">
        <f>(Query1[[#This Row],[Close]]-Query1[[#This Row],[IPO ISSUE PRICE]])/Query1[[#This Row],[IPO ISSUE PRICE]]</f>
        <v>-2.1710526315789548E-2</v>
      </c>
      <c r="I477" s="3">
        <f>(Query1[[#This Row],[Close]]-E476)/E476</f>
        <v>-9.986684420772305E-3</v>
      </c>
    </row>
    <row r="478" spans="1:9">
      <c r="A478" s="1">
        <v>45100</v>
      </c>
      <c r="B478">
        <v>73.900000000000006</v>
      </c>
      <c r="C478">
        <v>75.3</v>
      </c>
      <c r="D478">
        <v>72.55</v>
      </c>
      <c r="E478">
        <v>74.150000000000006</v>
      </c>
      <c r="F478">
        <v>51775720</v>
      </c>
      <c r="G478">
        <v>76</v>
      </c>
      <c r="H478" s="2">
        <f>(Query1[[#This Row],[Close]]-Query1[[#This Row],[IPO ISSUE PRICE]])/Query1[[#This Row],[IPO ISSUE PRICE]]</f>
        <v>-2.4342105263157821E-2</v>
      </c>
      <c r="I478" s="3">
        <f>(Query1[[#This Row],[Close]]-E477)/E477</f>
        <v>-2.6899798251511587E-3</v>
      </c>
    </row>
    <row r="479" spans="1:9">
      <c r="A479" s="1">
        <v>45103</v>
      </c>
      <c r="B479">
        <v>74.150000000000006</v>
      </c>
      <c r="C479">
        <v>75.25</v>
      </c>
      <c r="D479">
        <v>73.8</v>
      </c>
      <c r="E479">
        <v>74.849999999999994</v>
      </c>
      <c r="F479">
        <v>30411620</v>
      </c>
      <c r="G479">
        <v>76</v>
      </c>
      <c r="H479" s="2">
        <f>(Query1[[#This Row],[Close]]-Query1[[#This Row],[IPO ISSUE PRICE]])/Query1[[#This Row],[IPO ISSUE PRICE]]</f>
        <v>-1.5131578947368496E-2</v>
      </c>
      <c r="I479" s="3">
        <f>(Query1[[#This Row],[Close]]-E478)/E478</f>
        <v>9.4403236682398996E-3</v>
      </c>
    </row>
    <row r="480" spans="1:9">
      <c r="A480" s="1">
        <v>45104</v>
      </c>
      <c r="B480">
        <v>75.150000000000006</v>
      </c>
      <c r="C480">
        <v>76.95</v>
      </c>
      <c r="D480">
        <v>74.849999999999994</v>
      </c>
      <c r="E480">
        <v>76.150000000000006</v>
      </c>
      <c r="F480">
        <v>59078130</v>
      </c>
      <c r="G480">
        <v>76</v>
      </c>
      <c r="H480" s="2">
        <f>(Query1[[#This Row],[Close]]-Query1[[#This Row],[IPO ISSUE PRICE]])/Query1[[#This Row],[IPO ISSUE PRICE]]</f>
        <v>1.9736842105263904E-3</v>
      </c>
      <c r="I480" s="3">
        <f>(Query1[[#This Row],[Close]]-E479)/E479</f>
        <v>1.7368069472278043E-2</v>
      </c>
    </row>
    <row r="481" spans="1:9">
      <c r="A481" s="1">
        <v>45105</v>
      </c>
      <c r="B481">
        <v>77</v>
      </c>
      <c r="C481">
        <v>77</v>
      </c>
      <c r="D481">
        <v>74.599999999999994</v>
      </c>
      <c r="E481">
        <v>74.900000000000006</v>
      </c>
      <c r="F481">
        <v>30574520</v>
      </c>
      <c r="G481">
        <v>76</v>
      </c>
      <c r="H481" s="2">
        <f>(Query1[[#This Row],[Close]]-Query1[[#This Row],[IPO ISSUE PRICE]])/Query1[[#This Row],[IPO ISSUE PRICE]]</f>
        <v>-1.4473684210526241E-2</v>
      </c>
      <c r="I481" s="3">
        <f>(Query1[[#This Row],[Close]]-E480)/E480</f>
        <v>-1.6414970453053183E-2</v>
      </c>
    </row>
    <row r="482" spans="1:9">
      <c r="A482" s="1">
        <v>45107</v>
      </c>
      <c r="B482">
        <v>75</v>
      </c>
      <c r="C482">
        <v>75.45</v>
      </c>
      <c r="D482">
        <v>74</v>
      </c>
      <c r="E482">
        <v>75.05</v>
      </c>
      <c r="F482">
        <v>49245370</v>
      </c>
      <c r="G482">
        <v>76</v>
      </c>
      <c r="H482" s="2">
        <f>(Query1[[#This Row],[Close]]-Query1[[#This Row],[IPO ISSUE PRICE]])/Query1[[#This Row],[IPO ISSUE PRICE]]</f>
        <v>-1.2500000000000037E-2</v>
      </c>
      <c r="I482" s="3">
        <f>(Query1[[#This Row],[Close]]-E481)/E481</f>
        <v>2.0026702269691785E-3</v>
      </c>
    </row>
    <row r="483" spans="1:9">
      <c r="A483" s="1">
        <v>45110</v>
      </c>
      <c r="B483">
        <v>75.45</v>
      </c>
      <c r="C483">
        <v>77.25</v>
      </c>
      <c r="D483">
        <v>74.55</v>
      </c>
      <c r="E483">
        <v>75.650000000000006</v>
      </c>
      <c r="F483" s="5">
        <v>49243205</v>
      </c>
      <c r="G483">
        <v>76</v>
      </c>
      <c r="H483" s="2">
        <f>(Query1[[#This Row],[Close]]-Query1[[#This Row],[IPO ISSUE PRICE]])/Query1[[#This Row],[IPO ISSUE PRICE]]</f>
        <v>-4.6052631578946618E-3</v>
      </c>
      <c r="I483" s="3">
        <f>(Query1[[#This Row],[Close]]-E482)/E482</f>
        <v>7.9946702198535457E-3</v>
      </c>
    </row>
    <row r="484" spans="1:9">
      <c r="A484" s="1">
        <v>45111</v>
      </c>
      <c r="B484">
        <v>75.8</v>
      </c>
      <c r="C484">
        <v>76.2</v>
      </c>
      <c r="D484">
        <v>74.5</v>
      </c>
      <c r="E484">
        <v>74.8</v>
      </c>
      <c r="F484">
        <v>24150257</v>
      </c>
      <c r="G484">
        <v>76</v>
      </c>
      <c r="H484" s="2">
        <f>(Query1[[#This Row],[Close]]-Query1[[#This Row],[IPO ISSUE PRICE]])/Query1[[#This Row],[IPO ISSUE PRICE]]</f>
        <v>-1.5789473684210565E-2</v>
      </c>
      <c r="I484" s="3">
        <f>(Query1[[#This Row],[Close]]-E483)/E483</f>
        <v>-1.1235955056179888E-2</v>
      </c>
    </row>
    <row r="485" spans="1:9">
      <c r="A485" s="1">
        <v>45112</v>
      </c>
      <c r="B485">
        <v>74.849999999999994</v>
      </c>
      <c r="C485">
        <v>75.099999999999994</v>
      </c>
      <c r="D485">
        <v>73.7</v>
      </c>
      <c r="E485">
        <v>74.05</v>
      </c>
      <c r="F485" s="5">
        <v>25459694</v>
      </c>
      <c r="G485">
        <v>76</v>
      </c>
      <c r="H485" s="2">
        <f>(Query1[[#This Row],[Close]]-Query1[[#This Row],[IPO ISSUE PRICE]])/Query1[[#This Row],[IPO ISSUE PRICE]]</f>
        <v>-2.5657894736842143E-2</v>
      </c>
      <c r="I485" s="3">
        <f>(Query1[[#This Row],[Close]]-E484)/E484</f>
        <v>-1.0026737967914439E-2</v>
      </c>
    </row>
    <row r="486" spans="1:9">
      <c r="A486" s="1">
        <v>45113</v>
      </c>
      <c r="B486">
        <v>74.45</v>
      </c>
      <c r="C486">
        <v>75.25</v>
      </c>
      <c r="D486">
        <v>74.3</v>
      </c>
      <c r="E486">
        <v>74.75</v>
      </c>
      <c r="F486" s="5">
        <v>24467816</v>
      </c>
      <c r="G486">
        <v>76</v>
      </c>
      <c r="H486" s="2">
        <f>(Query1[[#This Row],[Close]]-Query1[[#This Row],[IPO ISSUE PRICE]])/Query1[[#This Row],[IPO ISSUE PRICE]]</f>
        <v>-1.6447368421052631E-2</v>
      </c>
      <c r="I486" s="3">
        <f>(Query1[[#This Row],[Close]]-E485)/E485</f>
        <v>9.4530722484807948E-3</v>
      </c>
    </row>
    <row r="487" spans="1:9">
      <c r="A487" s="1">
        <v>45114</v>
      </c>
      <c r="B487">
        <v>74.8</v>
      </c>
      <c r="C487">
        <v>74.900000000000006</v>
      </c>
      <c r="D487">
        <v>73</v>
      </c>
      <c r="E487">
        <v>73.25</v>
      </c>
      <c r="F487">
        <v>26599770</v>
      </c>
      <c r="G487">
        <v>76</v>
      </c>
      <c r="H487" s="2">
        <f>(Query1[[#This Row],[Close]]-Query1[[#This Row],[IPO ISSUE PRICE]])/Query1[[#This Row],[IPO ISSUE PRICE]]</f>
        <v>-3.6184210526315791E-2</v>
      </c>
      <c r="I487" s="3">
        <f>(Query1[[#This Row],[Close]]-E486)/E486</f>
        <v>-2.0066889632107024E-2</v>
      </c>
    </row>
    <row r="488" spans="1:9">
      <c r="A488" s="1">
        <v>45117</v>
      </c>
      <c r="B488">
        <v>73.45</v>
      </c>
      <c r="C488">
        <v>75.55</v>
      </c>
      <c r="D488">
        <v>73.400000000000006</v>
      </c>
      <c r="E488">
        <v>74.8</v>
      </c>
      <c r="F488">
        <v>33812200</v>
      </c>
      <c r="G488">
        <v>76</v>
      </c>
      <c r="H488" s="2">
        <f>(Query1[[#This Row],[Close]]-Query1[[#This Row],[IPO ISSUE PRICE]])/Query1[[#This Row],[IPO ISSUE PRICE]]</f>
        <v>-1.5789473684210565E-2</v>
      </c>
      <c r="I488" s="3">
        <f>(Query1[[#This Row],[Close]]-E487)/E487</f>
        <v>2.1160409556313955E-2</v>
      </c>
    </row>
    <row r="489" spans="1:9">
      <c r="A489" s="1">
        <v>45118</v>
      </c>
      <c r="B489">
        <v>75.05</v>
      </c>
      <c r="C489">
        <v>77</v>
      </c>
      <c r="D489">
        <v>74.900000000000006</v>
      </c>
      <c r="E489">
        <v>76.8</v>
      </c>
      <c r="F489">
        <v>42946892</v>
      </c>
      <c r="G489">
        <v>76</v>
      </c>
      <c r="H489" s="2">
        <f>(Query1[[#This Row],[Close]]-Query1[[#This Row],[IPO ISSUE PRICE]])/Query1[[#This Row],[IPO ISSUE PRICE]]</f>
        <v>1.0526315789473648E-2</v>
      </c>
      <c r="I489" s="3">
        <f>(Query1[[#This Row],[Close]]-E488)/E488</f>
        <v>2.6737967914438502E-2</v>
      </c>
    </row>
    <row r="490" spans="1:9">
      <c r="A490" s="1">
        <v>45119</v>
      </c>
      <c r="B490">
        <v>77.5</v>
      </c>
      <c r="C490">
        <v>78.8</v>
      </c>
      <c r="D490">
        <v>77.150000000000006</v>
      </c>
      <c r="E490">
        <v>77.5</v>
      </c>
      <c r="F490">
        <v>64212629</v>
      </c>
      <c r="G490">
        <v>76</v>
      </c>
      <c r="H490" s="2">
        <f>(Query1[[#This Row],[Close]]-Query1[[#This Row],[IPO ISSUE PRICE]])/Query1[[#This Row],[IPO ISSUE PRICE]]</f>
        <v>1.9736842105263157E-2</v>
      </c>
      <c r="I490" s="3">
        <f>(Query1[[#This Row],[Close]]-E489)/E489</f>
        <v>9.1145833333333703E-3</v>
      </c>
    </row>
    <row r="491" spans="1:9">
      <c r="A491" s="1">
        <v>45120</v>
      </c>
      <c r="B491">
        <v>77.849999999999994</v>
      </c>
      <c r="C491">
        <v>84.5</v>
      </c>
      <c r="D491">
        <v>77.650000000000006</v>
      </c>
      <c r="E491">
        <v>82.2</v>
      </c>
      <c r="F491">
        <v>192605002</v>
      </c>
      <c r="G491">
        <v>76</v>
      </c>
      <c r="H491" s="2">
        <f>(Query1[[#This Row],[Close]]-Query1[[#This Row],[IPO ISSUE PRICE]])/Query1[[#This Row],[IPO ISSUE PRICE]]</f>
        <v>8.1578947368421084E-2</v>
      </c>
      <c r="I491" s="3">
        <f>(Query1[[#This Row],[Close]]-E490)/E490</f>
        <v>6.0645161290322616E-2</v>
      </c>
    </row>
    <row r="492" spans="1:9">
      <c r="A492" s="1">
        <v>45121</v>
      </c>
      <c r="B492">
        <v>84</v>
      </c>
      <c r="C492">
        <v>85.25</v>
      </c>
      <c r="D492">
        <v>81.650000000000006</v>
      </c>
      <c r="E492">
        <v>82.55</v>
      </c>
      <c r="F492">
        <v>91571300</v>
      </c>
      <c r="G492">
        <v>76</v>
      </c>
      <c r="H492" s="2">
        <f>(Query1[[#This Row],[Close]]-Query1[[#This Row],[IPO ISSUE PRICE]])/Query1[[#This Row],[IPO ISSUE PRICE]]</f>
        <v>8.6184210526315752E-2</v>
      </c>
      <c r="I492" s="3">
        <f>(Query1[[#This Row],[Close]]-E491)/E491</f>
        <v>4.257907542579006E-3</v>
      </c>
    </row>
    <row r="493" spans="1:9">
      <c r="A493" s="1">
        <v>45124</v>
      </c>
      <c r="B493">
        <v>83.2</v>
      </c>
      <c r="C493">
        <v>83.4</v>
      </c>
      <c r="D493">
        <v>79.5</v>
      </c>
      <c r="E493">
        <v>80.150000000000006</v>
      </c>
      <c r="F493">
        <v>43377340</v>
      </c>
      <c r="G493">
        <v>76</v>
      </c>
      <c r="H493" s="2">
        <f>(Query1[[#This Row],[Close]]-Query1[[#This Row],[IPO ISSUE PRICE]])/Query1[[#This Row],[IPO ISSUE PRICE]]</f>
        <v>5.4605263157894809E-2</v>
      </c>
      <c r="I493" s="3">
        <f>(Query1[[#This Row],[Close]]-E492)/E492</f>
        <v>-2.9073288915808498E-2</v>
      </c>
    </row>
    <row r="494" spans="1:9">
      <c r="A494" s="1">
        <v>45125</v>
      </c>
      <c r="B494">
        <v>80.650000000000006</v>
      </c>
      <c r="C494">
        <v>80.650000000000006</v>
      </c>
      <c r="D494">
        <v>76.5</v>
      </c>
      <c r="E494">
        <v>78.7</v>
      </c>
      <c r="F494">
        <v>71215775</v>
      </c>
      <c r="G494">
        <v>76</v>
      </c>
      <c r="H494" s="2">
        <f>(Query1[[#This Row],[Close]]-Query1[[#This Row],[IPO ISSUE PRICE]])/Query1[[#This Row],[IPO ISSUE PRICE]]</f>
        <v>3.5526315789473718E-2</v>
      </c>
      <c r="I494" s="3">
        <f>(Query1[[#This Row],[Close]]-E493)/E493</f>
        <v>-1.8091079226450441E-2</v>
      </c>
    </row>
    <row r="495" spans="1:9">
      <c r="A495" s="1">
        <v>45126</v>
      </c>
      <c r="B495">
        <v>79</v>
      </c>
      <c r="C495">
        <v>80.349999999999994</v>
      </c>
      <c r="D495">
        <v>77.25</v>
      </c>
      <c r="E495">
        <v>77.650000000000006</v>
      </c>
      <c r="F495">
        <v>42130920</v>
      </c>
      <c r="G495">
        <v>76</v>
      </c>
      <c r="H495" s="2">
        <f>(Query1[[#This Row],[Close]]-Query1[[#This Row],[IPO ISSUE PRICE]])/Query1[[#This Row],[IPO ISSUE PRICE]]</f>
        <v>2.1710526315789548E-2</v>
      </c>
      <c r="I495" s="3">
        <f>(Query1[[#This Row],[Close]]-E494)/E494</f>
        <v>-1.3341804320203267E-2</v>
      </c>
    </row>
    <row r="496" spans="1:9">
      <c r="A496" s="1">
        <v>45127</v>
      </c>
      <c r="B496">
        <v>78.05</v>
      </c>
      <c r="C496">
        <v>79.099999999999994</v>
      </c>
      <c r="D496">
        <v>77.3</v>
      </c>
      <c r="E496">
        <v>77.599999999999994</v>
      </c>
      <c r="F496">
        <v>40495230</v>
      </c>
      <c r="G496">
        <v>76</v>
      </c>
      <c r="H496" s="2">
        <f>(Query1[[#This Row],[Close]]-Query1[[#This Row],[IPO ISSUE PRICE]])/Query1[[#This Row],[IPO ISSUE PRICE]]</f>
        <v>2.1052631578947295E-2</v>
      </c>
      <c r="I496" s="3">
        <f>(Query1[[#This Row],[Close]]-E495)/E495</f>
        <v>-6.4391500321972137E-4</v>
      </c>
    </row>
    <row r="497" spans="1:9">
      <c r="A497" s="1">
        <v>45128</v>
      </c>
      <c r="B497">
        <v>77.849999999999994</v>
      </c>
      <c r="C497">
        <v>80.7</v>
      </c>
      <c r="D497">
        <v>77.400000000000006</v>
      </c>
      <c r="E497">
        <v>80.3</v>
      </c>
      <c r="F497">
        <v>74991210</v>
      </c>
      <c r="G497">
        <v>76</v>
      </c>
      <c r="H497" s="2">
        <f>(Query1[[#This Row],[Close]]-Query1[[#This Row],[IPO ISSUE PRICE]])/Query1[[#This Row],[IPO ISSUE PRICE]]</f>
        <v>5.6578947368421013E-2</v>
      </c>
      <c r="I497" s="3">
        <f>(Query1[[#This Row],[Close]]-E496)/E496</f>
        <v>3.4793814432989727E-2</v>
      </c>
    </row>
    <row r="498" spans="1:9">
      <c r="A498" s="1">
        <v>45131</v>
      </c>
      <c r="B498">
        <v>80.8</v>
      </c>
      <c r="C498">
        <v>82.45</v>
      </c>
      <c r="D498">
        <v>80.55</v>
      </c>
      <c r="E498">
        <v>81.3</v>
      </c>
      <c r="F498">
        <v>64291280</v>
      </c>
      <c r="G498">
        <v>76</v>
      </c>
      <c r="H498" s="2">
        <f>(Query1[[#This Row],[Close]]-Query1[[#This Row],[IPO ISSUE PRICE]])/Query1[[#This Row],[IPO ISSUE PRICE]]</f>
        <v>6.9736842105263125E-2</v>
      </c>
      <c r="I498" s="3">
        <f>(Query1[[#This Row],[Close]]-E497)/E497</f>
        <v>1.2453300124533002E-2</v>
      </c>
    </row>
    <row r="499" spans="1:9">
      <c r="A499" s="1">
        <v>45132</v>
      </c>
      <c r="B499">
        <v>81.3</v>
      </c>
      <c r="C499">
        <v>83.2</v>
      </c>
      <c r="D499">
        <v>79.3</v>
      </c>
      <c r="E499">
        <v>82.65</v>
      </c>
      <c r="F499">
        <v>72459586</v>
      </c>
      <c r="G499">
        <v>76</v>
      </c>
      <c r="H499" s="2">
        <f>(Query1[[#This Row],[Close]]-Query1[[#This Row],[IPO ISSUE PRICE]])/Query1[[#This Row],[IPO ISSUE PRICE]]</f>
        <v>8.7500000000000078E-2</v>
      </c>
      <c r="I499" s="3">
        <f>(Query1[[#This Row],[Close]]-E498)/E498</f>
        <v>1.6605166051660621E-2</v>
      </c>
    </row>
    <row r="500" spans="1:9">
      <c r="A500" s="1">
        <v>45133</v>
      </c>
      <c r="B500">
        <v>83.1</v>
      </c>
      <c r="C500">
        <v>84.6</v>
      </c>
      <c r="D500">
        <v>82.5</v>
      </c>
      <c r="E500">
        <v>83.35</v>
      </c>
      <c r="F500">
        <v>59291220</v>
      </c>
      <c r="G500">
        <v>76</v>
      </c>
      <c r="H500" s="2">
        <f>(Query1[[#This Row],[Close]]-Query1[[#This Row],[IPO ISSUE PRICE]])/Query1[[#This Row],[IPO ISSUE PRICE]]</f>
        <v>9.67105263157894E-2</v>
      </c>
      <c r="I500" s="3">
        <f>(Query1[[#This Row],[Close]]-E499)/E499</f>
        <v>8.4694494857832855E-3</v>
      </c>
    </row>
    <row r="501" spans="1:9">
      <c r="A501" s="1">
        <v>45134</v>
      </c>
      <c r="B501">
        <v>83.35</v>
      </c>
      <c r="C501">
        <v>86.1</v>
      </c>
      <c r="D501">
        <v>82.8</v>
      </c>
      <c r="E501">
        <v>84.95</v>
      </c>
      <c r="F501">
        <v>77249384</v>
      </c>
      <c r="G501">
        <v>76</v>
      </c>
      <c r="H501" s="2">
        <f>(Query1[[#This Row],[Close]]-Query1[[#This Row],[IPO ISSUE PRICE]])/Query1[[#This Row],[IPO ISSUE PRICE]]</f>
        <v>0.11776315789473688</v>
      </c>
      <c r="I501" s="3">
        <f>(Query1[[#This Row],[Close]]-E500)/E500</f>
        <v>1.9196160767846533E-2</v>
      </c>
    </row>
    <row r="502" spans="1:9">
      <c r="A502" s="1">
        <v>45135</v>
      </c>
      <c r="B502">
        <v>85.6</v>
      </c>
      <c r="C502">
        <v>87.25</v>
      </c>
      <c r="D502">
        <v>83.85</v>
      </c>
      <c r="E502">
        <v>86.8</v>
      </c>
      <c r="F502">
        <v>74798620</v>
      </c>
      <c r="G502">
        <v>76</v>
      </c>
      <c r="H502" s="2">
        <f>(Query1[[#This Row],[Close]]-Query1[[#This Row],[IPO ISSUE PRICE]])/Query1[[#This Row],[IPO ISSUE PRICE]]</f>
        <v>0.14210526315789471</v>
      </c>
      <c r="I502" s="3">
        <f>(Query1[[#This Row],[Close]]-E501)/E501</f>
        <v>2.1777516185991691E-2</v>
      </c>
    </row>
    <row r="503" spans="1:9">
      <c r="A503" s="1">
        <v>45138</v>
      </c>
      <c r="B503">
        <v>87</v>
      </c>
      <c r="C503">
        <v>87.15</v>
      </c>
      <c r="D503">
        <v>83.7</v>
      </c>
      <c r="E503">
        <v>84.1</v>
      </c>
      <c r="F503">
        <v>49093355</v>
      </c>
      <c r="G503">
        <v>76</v>
      </c>
      <c r="H503" s="2">
        <f>(Query1[[#This Row],[Close]]-Query1[[#This Row],[IPO ISSUE PRICE]])/Query1[[#This Row],[IPO ISSUE PRICE]]</f>
        <v>0.10657894736842098</v>
      </c>
      <c r="I503" s="3">
        <f>(Query1[[#This Row],[Close]]-E502)/E502</f>
        <v>-3.1105990783410174E-2</v>
      </c>
    </row>
    <row r="504" spans="1:9">
      <c r="A504" s="1">
        <v>45139</v>
      </c>
      <c r="B504">
        <v>84.6</v>
      </c>
      <c r="C504">
        <v>85.7</v>
      </c>
      <c r="D504">
        <v>84.2</v>
      </c>
      <c r="E504">
        <v>84.75</v>
      </c>
      <c r="F504">
        <v>34950470</v>
      </c>
      <c r="G504">
        <v>76</v>
      </c>
      <c r="H504" s="2">
        <f>(Query1[[#This Row],[Close]]-Query1[[#This Row],[IPO ISSUE PRICE]])/Query1[[#This Row],[IPO ISSUE PRICE]]</f>
        <v>0.11513157894736842</v>
      </c>
      <c r="I504" s="3">
        <f>(Query1[[#This Row],[Close]]-E503)/E503</f>
        <v>7.728894173602922E-3</v>
      </c>
    </row>
    <row r="505" spans="1:9">
      <c r="A505" s="1">
        <v>45140</v>
      </c>
      <c r="B505">
        <v>84.45</v>
      </c>
      <c r="C505">
        <v>85.95</v>
      </c>
      <c r="D505">
        <v>82.65</v>
      </c>
      <c r="E505">
        <v>85.05</v>
      </c>
      <c r="F505">
        <v>54844625</v>
      </c>
      <c r="G505">
        <v>76</v>
      </c>
      <c r="H505" s="2">
        <f>(Query1[[#This Row],[Close]]-Query1[[#This Row],[IPO ISSUE PRICE]])/Query1[[#This Row],[IPO ISSUE PRICE]]</f>
        <v>0.11907894736842102</v>
      </c>
      <c r="I505" s="3">
        <f>(Query1[[#This Row],[Close]]-E504)/E504</f>
        <v>3.5398230088495241E-3</v>
      </c>
    </row>
    <row r="506" spans="1:9">
      <c r="A506" s="1">
        <v>45141</v>
      </c>
      <c r="B506">
        <v>81.599999999999994</v>
      </c>
      <c r="C506">
        <v>88.4</v>
      </c>
      <c r="D506">
        <v>81.599999999999994</v>
      </c>
      <c r="E506">
        <v>86.55</v>
      </c>
      <c r="F506">
        <v>123480800</v>
      </c>
      <c r="G506">
        <v>76</v>
      </c>
      <c r="H506" s="2">
        <f>(Query1[[#This Row],[Close]]-Query1[[#This Row],[IPO ISSUE PRICE]])/Query1[[#This Row],[IPO ISSUE PRICE]]</f>
        <v>0.13881578947368417</v>
      </c>
      <c r="I506" s="3">
        <f>(Query1[[#This Row],[Close]]-E505)/E505</f>
        <v>1.7636684303350969E-2</v>
      </c>
    </row>
    <row r="507" spans="1:9">
      <c r="A507" s="1">
        <v>45142</v>
      </c>
      <c r="B507">
        <v>89</v>
      </c>
      <c r="C507">
        <v>98.4</v>
      </c>
      <c r="D507">
        <v>88.4</v>
      </c>
      <c r="E507">
        <v>95.4</v>
      </c>
      <c r="F507">
        <v>405751600</v>
      </c>
      <c r="G507">
        <v>76</v>
      </c>
      <c r="H507" s="2">
        <f>(Query1[[#This Row],[Close]]-Query1[[#This Row],[IPO ISSUE PRICE]])/Query1[[#This Row],[IPO ISSUE PRICE]]</f>
        <v>0.25526315789473691</v>
      </c>
      <c r="I507" s="3">
        <f>(Query1[[#This Row],[Close]]-E506)/E506</f>
        <v>0.10225303292894292</v>
      </c>
    </row>
    <row r="508" spans="1:9">
      <c r="A508" s="1">
        <v>45145</v>
      </c>
      <c r="B508">
        <v>97.4</v>
      </c>
      <c r="C508">
        <v>102.85</v>
      </c>
      <c r="D508">
        <v>96.35</v>
      </c>
      <c r="E508">
        <v>97.6</v>
      </c>
      <c r="F508">
        <v>249331600</v>
      </c>
      <c r="G508">
        <v>76</v>
      </c>
      <c r="H508" s="2">
        <f>(Query1[[#This Row],[Close]]-Query1[[#This Row],[IPO ISSUE PRICE]])/Query1[[#This Row],[IPO ISSUE PRICE]]</f>
        <v>0.28421052631578941</v>
      </c>
      <c r="I508" s="3">
        <f>(Query1[[#This Row],[Close]]-E507)/E507</f>
        <v>2.3060796645702184E-2</v>
      </c>
    </row>
    <row r="509" spans="1:9">
      <c r="A509" s="1">
        <v>45146</v>
      </c>
      <c r="B509">
        <v>98.35</v>
      </c>
      <c r="C509">
        <v>100.3</v>
      </c>
      <c r="D509">
        <v>92.7</v>
      </c>
      <c r="E509">
        <v>93.45</v>
      </c>
      <c r="F509">
        <v>160236100</v>
      </c>
      <c r="G509">
        <v>76</v>
      </c>
      <c r="H509" s="2">
        <f>(Query1[[#This Row],[Close]]-Query1[[#This Row],[IPO ISSUE PRICE]])/Query1[[#This Row],[IPO ISSUE PRICE]]</f>
        <v>0.22960526315789478</v>
      </c>
      <c r="I509" s="3">
        <f>(Query1[[#This Row],[Close]]-E508)/E508</f>
        <v>-4.2520491803278604E-2</v>
      </c>
    </row>
    <row r="510" spans="1:9">
      <c r="A510" s="1">
        <v>45147</v>
      </c>
      <c r="B510">
        <v>93.9</v>
      </c>
      <c r="C510">
        <v>94.85</v>
      </c>
      <c r="D510">
        <v>91.6</v>
      </c>
      <c r="E510">
        <v>94.1</v>
      </c>
      <c r="F510">
        <v>109240900</v>
      </c>
      <c r="G510">
        <v>76</v>
      </c>
      <c r="H510" s="2">
        <f>(Query1[[#This Row],[Close]]-Query1[[#This Row],[IPO ISSUE PRICE]])/Query1[[#This Row],[IPO ISSUE PRICE]]</f>
        <v>0.23815789473684204</v>
      </c>
      <c r="I510" s="3">
        <f>(Query1[[#This Row],[Close]]-E509)/E509</f>
        <v>6.9555912252540555E-3</v>
      </c>
    </row>
    <row r="511" spans="1:9">
      <c r="A511" s="1">
        <v>45148</v>
      </c>
      <c r="B511">
        <v>94.1</v>
      </c>
      <c r="C511">
        <v>96.15</v>
      </c>
      <c r="D511">
        <v>93.25</v>
      </c>
      <c r="E511">
        <v>94.25</v>
      </c>
      <c r="F511">
        <v>87598550</v>
      </c>
      <c r="G511">
        <v>76</v>
      </c>
      <c r="H511" s="2">
        <f>(Query1[[#This Row],[Close]]-Query1[[#This Row],[IPO ISSUE PRICE]])/Query1[[#This Row],[IPO ISSUE PRICE]]</f>
        <v>0.24013157894736842</v>
      </c>
      <c r="I511" s="3">
        <f>(Query1[[#This Row],[Close]]-E510)/E510</f>
        <v>1.5940488841658415E-3</v>
      </c>
    </row>
    <row r="512" spans="1:9">
      <c r="A512" s="1">
        <v>45149</v>
      </c>
      <c r="B512">
        <v>94.6</v>
      </c>
      <c r="C512">
        <v>95.2</v>
      </c>
      <c r="D512">
        <v>93.05</v>
      </c>
      <c r="E512">
        <v>93.45</v>
      </c>
      <c r="F512">
        <v>38156800</v>
      </c>
      <c r="G512">
        <v>76</v>
      </c>
      <c r="H512" s="2">
        <f>(Query1[[#This Row],[Close]]-Query1[[#This Row],[IPO ISSUE PRICE]])/Query1[[#This Row],[IPO ISSUE PRICE]]</f>
        <v>0.22960526315789478</v>
      </c>
      <c r="I512" s="3">
        <f>(Query1[[#This Row],[Close]]-E511)/E511</f>
        <v>-8.4880636604774233E-3</v>
      </c>
    </row>
    <row r="513" spans="1:9">
      <c r="A513" s="1">
        <v>45152</v>
      </c>
      <c r="B513">
        <v>93.4</v>
      </c>
      <c r="C513">
        <v>93.4</v>
      </c>
      <c r="D513">
        <v>91.35</v>
      </c>
      <c r="E513">
        <v>92.75</v>
      </c>
      <c r="F513">
        <v>46668440</v>
      </c>
      <c r="G513">
        <v>76</v>
      </c>
      <c r="H513" s="2">
        <f>(Query1[[#This Row],[Close]]-Query1[[#This Row],[IPO ISSUE PRICE]])/Query1[[#This Row],[IPO ISSUE PRICE]]</f>
        <v>0.22039473684210525</v>
      </c>
      <c r="I513" s="3">
        <f>(Query1[[#This Row],[Close]]-E512)/E512</f>
        <v>-7.4906367041198806E-3</v>
      </c>
    </row>
    <row r="514" spans="1:9">
      <c r="A514" s="1">
        <v>45154</v>
      </c>
      <c r="B514">
        <v>92.45</v>
      </c>
      <c r="C514">
        <v>95.6</v>
      </c>
      <c r="D514">
        <v>91.5</v>
      </c>
      <c r="E514">
        <v>91.9</v>
      </c>
      <c r="F514">
        <v>76333130</v>
      </c>
      <c r="G514">
        <v>76</v>
      </c>
      <c r="H514" s="2">
        <f>(Query1[[#This Row],[Close]]-Query1[[#This Row],[IPO ISSUE PRICE]])/Query1[[#This Row],[IPO ISSUE PRICE]]</f>
        <v>0.20921052631578954</v>
      </c>
      <c r="I514" s="3">
        <f>(Query1[[#This Row],[Close]]-E513)/E513</f>
        <v>-9.1644204851751409E-3</v>
      </c>
    </row>
    <row r="515" spans="1:9">
      <c r="A515" s="1">
        <v>45155</v>
      </c>
      <c r="B515">
        <v>92.3</v>
      </c>
      <c r="C515">
        <v>93.25</v>
      </c>
      <c r="D515">
        <v>90.5</v>
      </c>
      <c r="E515">
        <v>91.15</v>
      </c>
      <c r="F515">
        <v>45657090</v>
      </c>
      <c r="G515">
        <v>76</v>
      </c>
      <c r="H515" s="2">
        <f>(Query1[[#This Row],[Close]]-Query1[[#This Row],[IPO ISSUE PRICE]])/Query1[[#This Row],[IPO ISSUE PRICE]]</f>
        <v>0.19934210526315796</v>
      </c>
      <c r="I515" s="3">
        <f>(Query1[[#This Row],[Close]]-E514)/E514</f>
        <v>-8.1610446137105538E-3</v>
      </c>
    </row>
    <row r="516" spans="1:9">
      <c r="A516" s="1">
        <v>45156</v>
      </c>
      <c r="B516">
        <v>91</v>
      </c>
      <c r="C516">
        <v>91.4</v>
      </c>
      <c r="D516">
        <v>89</v>
      </c>
      <c r="E516">
        <v>89.35</v>
      </c>
      <c r="F516">
        <v>50513070</v>
      </c>
      <c r="G516">
        <v>76</v>
      </c>
      <c r="H516" s="2">
        <f>(Query1[[#This Row],[Close]]-Query1[[#This Row],[IPO ISSUE PRICE]])/Query1[[#This Row],[IPO ISSUE PRICE]]</f>
        <v>0.17565789473684204</v>
      </c>
      <c r="I516" s="3">
        <f>(Query1[[#This Row],[Close]]-E515)/E515</f>
        <v>-1.9747668678003413E-2</v>
      </c>
    </row>
    <row r="517" spans="1:9">
      <c r="A517" s="1">
        <v>45159</v>
      </c>
      <c r="B517">
        <v>90.5</v>
      </c>
      <c r="C517">
        <v>90.5</v>
      </c>
      <c r="D517">
        <v>88.3</v>
      </c>
      <c r="E517">
        <v>89.75</v>
      </c>
      <c r="F517">
        <v>36755760</v>
      </c>
      <c r="G517">
        <v>76</v>
      </c>
      <c r="H517" s="2">
        <f>(Query1[[#This Row],[Close]]-Query1[[#This Row],[IPO ISSUE PRICE]])/Query1[[#This Row],[IPO ISSUE PRICE]]</f>
        <v>0.18092105263157895</v>
      </c>
      <c r="I517" s="3">
        <f>(Query1[[#This Row],[Close]]-E516)/E516</f>
        <v>4.4767767207611157E-3</v>
      </c>
    </row>
    <row r="518" spans="1:9">
      <c r="A518" s="1">
        <v>45160</v>
      </c>
      <c r="B518">
        <v>90.3</v>
      </c>
      <c r="C518">
        <v>94.3</v>
      </c>
      <c r="D518">
        <v>90.1</v>
      </c>
      <c r="E518">
        <v>91.9</v>
      </c>
      <c r="F518">
        <v>104409200</v>
      </c>
      <c r="G518">
        <v>76</v>
      </c>
      <c r="H518" s="2">
        <f>(Query1[[#This Row],[Close]]-Query1[[#This Row],[IPO ISSUE PRICE]])/Query1[[#This Row],[IPO ISSUE PRICE]]</f>
        <v>0.20921052631578954</v>
      </c>
      <c r="I518" s="3">
        <f>(Query1[[#This Row],[Close]]-E517)/E517</f>
        <v>2.3955431754874714E-2</v>
      </c>
    </row>
    <row r="519" spans="1:9">
      <c r="A519" s="1">
        <v>45161</v>
      </c>
      <c r="B519">
        <v>92.95</v>
      </c>
      <c r="C519">
        <v>95</v>
      </c>
      <c r="D519">
        <v>92.05</v>
      </c>
      <c r="E519">
        <v>94.3</v>
      </c>
      <c r="F519">
        <v>64768230</v>
      </c>
      <c r="G519">
        <v>76</v>
      </c>
      <c r="H519" s="2">
        <f>(Query1[[#This Row],[Close]]-Query1[[#This Row],[IPO ISSUE PRICE]])/Query1[[#This Row],[IPO ISSUE PRICE]]</f>
        <v>0.2407894736842105</v>
      </c>
      <c r="I519" s="3">
        <f>(Query1[[#This Row],[Close]]-E518)/E518</f>
        <v>2.6115342763873683E-2</v>
      </c>
    </row>
    <row r="520" spans="1:9">
      <c r="A520" s="1">
        <v>45162</v>
      </c>
      <c r="B520">
        <v>95.75</v>
      </c>
      <c r="C520">
        <v>95.75</v>
      </c>
      <c r="D520">
        <v>93.2</v>
      </c>
      <c r="E520">
        <v>93.8</v>
      </c>
      <c r="F520">
        <v>47597100</v>
      </c>
      <c r="G520">
        <v>76</v>
      </c>
      <c r="H520" s="2">
        <f>(Query1[[#This Row],[Close]]-Query1[[#This Row],[IPO ISSUE PRICE]])/Query1[[#This Row],[IPO ISSUE PRICE]]</f>
        <v>0.23421052631578942</v>
      </c>
      <c r="I520" s="3">
        <f>(Query1[[#This Row],[Close]]-E519)/E519</f>
        <v>-5.3022269353128317E-3</v>
      </c>
    </row>
    <row r="521" spans="1:9">
      <c r="A521" s="1">
        <v>45163</v>
      </c>
      <c r="B521">
        <v>93.35</v>
      </c>
      <c r="C521">
        <v>93.35</v>
      </c>
      <c r="D521">
        <v>90.05</v>
      </c>
      <c r="E521">
        <v>91</v>
      </c>
      <c r="F521">
        <v>65076320</v>
      </c>
      <c r="G521">
        <v>76</v>
      </c>
      <c r="H521" s="2">
        <f>(Query1[[#This Row],[Close]]-Query1[[#This Row],[IPO ISSUE PRICE]])/Query1[[#This Row],[IPO ISSUE PRICE]]</f>
        <v>0.19736842105263158</v>
      </c>
      <c r="I521" s="3">
        <f>(Query1[[#This Row],[Close]]-E520)/E520</f>
        <v>-2.9850746268656688E-2</v>
      </c>
    </row>
    <row r="522" spans="1:9">
      <c r="A522" s="1">
        <v>45166</v>
      </c>
      <c r="B522">
        <v>96</v>
      </c>
      <c r="C522">
        <v>96.1</v>
      </c>
      <c r="D522">
        <v>91.75</v>
      </c>
      <c r="E522">
        <v>92.35</v>
      </c>
      <c r="F522">
        <v>141118400</v>
      </c>
      <c r="G522">
        <v>76</v>
      </c>
      <c r="H522" s="2">
        <f>(Query1[[#This Row],[Close]]-Query1[[#This Row],[IPO ISSUE PRICE]])/Query1[[#This Row],[IPO ISSUE PRICE]]</f>
        <v>0.21513157894736834</v>
      </c>
      <c r="I522" s="3">
        <f>(Query1[[#This Row],[Close]]-E521)/E521</f>
        <v>1.4835164835164772E-2</v>
      </c>
    </row>
    <row r="523" spans="1:9">
      <c r="A523" s="1">
        <v>45167</v>
      </c>
      <c r="B523">
        <v>92.75</v>
      </c>
      <c r="C523">
        <v>95</v>
      </c>
      <c r="D523">
        <v>92.6</v>
      </c>
      <c r="E523">
        <v>94.7</v>
      </c>
      <c r="F523">
        <v>86708310</v>
      </c>
      <c r="G523">
        <v>76</v>
      </c>
      <c r="H523" s="2">
        <f>(Query1[[#This Row],[Close]]-Query1[[#This Row],[IPO ISSUE PRICE]])/Query1[[#This Row],[IPO ISSUE PRICE]]</f>
        <v>0.24605263157894741</v>
      </c>
      <c r="I523" s="3">
        <f>(Query1[[#This Row],[Close]]-E522)/E522</f>
        <v>2.5446670276123538E-2</v>
      </c>
    </row>
    <row r="524" spans="1:9">
      <c r="A524" s="1">
        <v>45168</v>
      </c>
      <c r="B524">
        <v>99.5</v>
      </c>
      <c r="C524">
        <v>100.5</v>
      </c>
      <c r="D524">
        <v>97.2</v>
      </c>
      <c r="E524">
        <v>99.8</v>
      </c>
      <c r="F524">
        <v>250111700</v>
      </c>
      <c r="G524">
        <v>76</v>
      </c>
      <c r="H524" s="2">
        <f>(Query1[[#This Row],[Close]]-Query1[[#This Row],[IPO ISSUE PRICE]])/Query1[[#This Row],[IPO ISSUE PRICE]]</f>
        <v>0.31315789473684208</v>
      </c>
      <c r="I524" s="3">
        <f>(Query1[[#This Row],[Close]]-E523)/E523</f>
        <v>5.3854276663146718E-2</v>
      </c>
    </row>
    <row r="525" spans="1:9">
      <c r="A525" s="1">
        <v>45169</v>
      </c>
      <c r="B525">
        <v>100.05</v>
      </c>
      <c r="C525">
        <v>100.8</v>
      </c>
      <c r="D525">
        <v>96.7</v>
      </c>
      <c r="E525">
        <v>97.6</v>
      </c>
      <c r="F525">
        <v>113063600</v>
      </c>
      <c r="G525">
        <v>76</v>
      </c>
      <c r="H525" s="2">
        <f>(Query1[[#This Row],[Close]]-Query1[[#This Row],[IPO ISSUE PRICE]])/Query1[[#This Row],[IPO ISSUE PRICE]]</f>
        <v>0.28421052631578941</v>
      </c>
      <c r="I525" s="3">
        <f>(Query1[[#This Row],[Close]]-E524)/E524</f>
        <v>-2.2044088176352734E-2</v>
      </c>
    </row>
    <row r="526" spans="1:9">
      <c r="A526" s="1">
        <v>45170</v>
      </c>
      <c r="B526">
        <v>98.3</v>
      </c>
      <c r="C526">
        <v>98.35</v>
      </c>
      <c r="D526">
        <v>96.85</v>
      </c>
      <c r="E526">
        <v>97.2</v>
      </c>
      <c r="F526">
        <v>47561920</v>
      </c>
      <c r="G526">
        <v>76</v>
      </c>
      <c r="H526" s="2">
        <f>(Query1[[#This Row],[Close]]-Query1[[#This Row],[IPO ISSUE PRICE]])/Query1[[#This Row],[IPO ISSUE PRICE]]</f>
        <v>0.27894736842105267</v>
      </c>
      <c r="I526" s="3">
        <f>(Query1[[#This Row],[Close]]-E525)/E525</f>
        <v>-4.0983606557376175E-3</v>
      </c>
    </row>
    <row r="527" spans="1:9">
      <c r="A527" s="1">
        <v>45173</v>
      </c>
      <c r="B527">
        <v>97.5</v>
      </c>
      <c r="C527">
        <v>98.6</v>
      </c>
      <c r="D527">
        <v>97.3</v>
      </c>
      <c r="E527">
        <v>98.05</v>
      </c>
      <c r="F527">
        <v>37447910</v>
      </c>
      <c r="G527">
        <v>76</v>
      </c>
      <c r="H527" s="2">
        <f>(Query1[[#This Row],[Close]]-Query1[[#This Row],[IPO ISSUE PRICE]])/Query1[[#This Row],[IPO ISSUE PRICE]]</f>
        <v>0.29013157894736841</v>
      </c>
      <c r="I527" s="3">
        <f>(Query1[[#This Row],[Close]]-E526)/E526</f>
        <v>8.7448559670781304E-3</v>
      </c>
    </row>
    <row r="528" spans="1:9">
      <c r="A528" s="1">
        <v>45174</v>
      </c>
      <c r="B528">
        <v>98.15</v>
      </c>
      <c r="C528">
        <v>99.3</v>
      </c>
      <c r="D528">
        <v>97.05</v>
      </c>
      <c r="E528">
        <v>98.2</v>
      </c>
      <c r="F528">
        <v>51133940</v>
      </c>
      <c r="G528">
        <v>76</v>
      </c>
      <c r="H528" s="2">
        <f>(Query1[[#This Row],[Close]]-Query1[[#This Row],[IPO ISSUE PRICE]])/Query1[[#This Row],[IPO ISSUE PRICE]]</f>
        <v>0.29210526315789476</v>
      </c>
      <c r="I528" s="3">
        <f>(Query1[[#This Row],[Close]]-E527)/E527</f>
        <v>1.5298317185110219E-3</v>
      </c>
    </row>
    <row r="529" spans="1:9">
      <c r="A529" s="1">
        <v>45175</v>
      </c>
      <c r="B529">
        <v>98.4</v>
      </c>
      <c r="C529">
        <v>98.85</v>
      </c>
      <c r="D529">
        <v>97.65</v>
      </c>
      <c r="E529">
        <v>98.2</v>
      </c>
      <c r="F529">
        <v>28329660</v>
      </c>
      <c r="G529">
        <v>76</v>
      </c>
      <c r="H529" s="2">
        <f>(Query1[[#This Row],[Close]]-Query1[[#This Row],[IPO ISSUE PRICE]])/Query1[[#This Row],[IPO ISSUE PRICE]]</f>
        <v>0.29210526315789476</v>
      </c>
      <c r="I529" s="3">
        <f>(Query1[[#This Row],[Close]]-E528)/E528</f>
        <v>0</v>
      </c>
    </row>
    <row r="530" spans="1:9">
      <c r="A530" s="1">
        <v>45176</v>
      </c>
      <c r="B530">
        <v>98.65</v>
      </c>
      <c r="C530">
        <v>101.6</v>
      </c>
      <c r="D530">
        <v>98.2</v>
      </c>
      <c r="E530">
        <v>100.05</v>
      </c>
      <c r="F530">
        <v>111222700</v>
      </c>
      <c r="G530">
        <v>76</v>
      </c>
      <c r="H530" s="2">
        <f>(Query1[[#This Row],[Close]]-Query1[[#This Row],[IPO ISSUE PRICE]])/Query1[[#This Row],[IPO ISSUE PRICE]]</f>
        <v>0.31644736842105259</v>
      </c>
      <c r="I530" s="3">
        <f>(Query1[[#This Row],[Close]]-E529)/E529</f>
        <v>1.883910386965371E-2</v>
      </c>
    </row>
    <row r="531" spans="1:9">
      <c r="A531" s="1">
        <v>45177</v>
      </c>
      <c r="B531">
        <v>100.75</v>
      </c>
      <c r="C531">
        <v>101.1</v>
      </c>
      <c r="D531">
        <v>99</v>
      </c>
      <c r="E531">
        <v>99.6</v>
      </c>
      <c r="F531">
        <v>63482360</v>
      </c>
      <c r="G531">
        <v>76</v>
      </c>
      <c r="H531" s="2">
        <f>(Query1[[#This Row],[Close]]-Query1[[#This Row],[IPO ISSUE PRICE]])/Query1[[#This Row],[IPO ISSUE PRICE]]</f>
        <v>0.31052631578947359</v>
      </c>
      <c r="I531" s="3">
        <f>(Query1[[#This Row],[Close]]-E530)/E530</f>
        <v>-4.4977511244378094E-3</v>
      </c>
    </row>
    <row r="532" spans="1:9">
      <c r="A532" s="1">
        <v>45180</v>
      </c>
      <c r="B532">
        <v>100</v>
      </c>
      <c r="C532">
        <v>102.55</v>
      </c>
      <c r="D532">
        <v>99.2</v>
      </c>
      <c r="E532">
        <v>101.35</v>
      </c>
      <c r="F532">
        <v>83850670</v>
      </c>
      <c r="G532">
        <v>76</v>
      </c>
      <c r="H532" s="2">
        <f>(Query1[[#This Row],[Close]]-Query1[[#This Row],[IPO ISSUE PRICE]])/Query1[[#This Row],[IPO ISSUE PRICE]]</f>
        <v>0.33355263157894727</v>
      </c>
      <c r="I532" s="3">
        <f>(Query1[[#This Row],[Close]]-E531)/E531</f>
        <v>1.7570281124497992E-2</v>
      </c>
    </row>
    <row r="533" spans="1:9">
      <c r="A533" s="1">
        <v>45181</v>
      </c>
      <c r="B533">
        <v>102.4</v>
      </c>
      <c r="C533">
        <v>102.5</v>
      </c>
      <c r="D533">
        <v>96.5</v>
      </c>
      <c r="E533">
        <v>98.75</v>
      </c>
      <c r="F533">
        <v>90911790</v>
      </c>
      <c r="G533">
        <v>76</v>
      </c>
      <c r="H533" s="2">
        <f>(Query1[[#This Row],[Close]]-Query1[[#This Row],[IPO ISSUE PRICE]])/Query1[[#This Row],[IPO ISSUE PRICE]]</f>
        <v>0.29934210526315791</v>
      </c>
      <c r="I533" s="3">
        <f>(Query1[[#This Row],[Close]]-E532)/E532</f>
        <v>-2.5653675382338377E-2</v>
      </c>
    </row>
    <row r="534" spans="1:9">
      <c r="A534" s="1">
        <v>45182</v>
      </c>
      <c r="B534">
        <v>98.75</v>
      </c>
      <c r="C534">
        <v>100.75</v>
      </c>
      <c r="D534">
        <v>97</v>
      </c>
      <c r="E534">
        <v>97.9</v>
      </c>
      <c r="F534">
        <v>71661110</v>
      </c>
      <c r="G534">
        <v>76</v>
      </c>
      <c r="H534" s="2">
        <f>(Query1[[#This Row],[Close]]-Query1[[#This Row],[IPO ISSUE PRICE]])/Query1[[#This Row],[IPO ISSUE PRICE]]</f>
        <v>0.28815789473684217</v>
      </c>
      <c r="I534" s="3">
        <f>(Query1[[#This Row],[Close]]-E533)/E533</f>
        <v>-8.6075949367088039E-3</v>
      </c>
    </row>
    <row r="535" spans="1:9">
      <c r="A535" s="1">
        <v>45183</v>
      </c>
      <c r="B535">
        <v>98.65</v>
      </c>
      <c r="C535">
        <v>100.1</v>
      </c>
      <c r="D535">
        <v>98.2</v>
      </c>
      <c r="E535">
        <v>99.45</v>
      </c>
      <c r="F535">
        <v>45226050</v>
      </c>
      <c r="G535">
        <v>76</v>
      </c>
      <c r="H535" s="2">
        <f>(Query1[[#This Row],[Close]]-Query1[[#This Row],[IPO ISSUE PRICE]])/Query1[[#This Row],[IPO ISSUE PRICE]]</f>
        <v>0.30855263157894741</v>
      </c>
      <c r="I535" s="3">
        <f>(Query1[[#This Row],[Close]]-E534)/E534</f>
        <v>1.5832482124616926E-2</v>
      </c>
    </row>
    <row r="536" spans="1:9">
      <c r="A536" s="1">
        <v>45184</v>
      </c>
      <c r="B536">
        <v>100.5</v>
      </c>
      <c r="C536">
        <v>104.45</v>
      </c>
      <c r="D536">
        <v>100.35</v>
      </c>
      <c r="E536">
        <v>102.95</v>
      </c>
      <c r="F536">
        <v>148853100</v>
      </c>
      <c r="G536">
        <v>76</v>
      </c>
      <c r="H536" s="2">
        <f>(Query1[[#This Row],[Close]]-Query1[[#This Row],[IPO ISSUE PRICE]])/Query1[[#This Row],[IPO ISSUE PRICE]]</f>
        <v>0.35460526315789476</v>
      </c>
      <c r="I536" s="3">
        <f>(Query1[[#This Row],[Close]]-E535)/E535</f>
        <v>3.5193564605329311E-2</v>
      </c>
    </row>
    <row r="537" spans="1:9">
      <c r="A537" s="1">
        <v>45187</v>
      </c>
      <c r="B537">
        <v>103.6</v>
      </c>
      <c r="C537">
        <v>105</v>
      </c>
      <c r="D537">
        <v>101.65</v>
      </c>
      <c r="E537">
        <v>102.15</v>
      </c>
      <c r="F537">
        <v>69476640</v>
      </c>
      <c r="G537">
        <v>76</v>
      </c>
      <c r="H537" s="2">
        <f>(Query1[[#This Row],[Close]]-Query1[[#This Row],[IPO ISSUE PRICE]])/Query1[[#This Row],[IPO ISSUE PRICE]]</f>
        <v>0.34407894736842115</v>
      </c>
      <c r="I537" s="3">
        <f>(Query1[[#This Row],[Close]]-E536)/E536</f>
        <v>-7.7707625060708801E-3</v>
      </c>
    </row>
    <row r="538" spans="1:9">
      <c r="A538" s="1">
        <v>45189</v>
      </c>
      <c r="B538">
        <v>101.3</v>
      </c>
      <c r="C538">
        <v>104.9</v>
      </c>
      <c r="D538">
        <v>99.3</v>
      </c>
      <c r="E538">
        <v>100</v>
      </c>
      <c r="F538">
        <v>104115500</v>
      </c>
      <c r="G538">
        <v>76</v>
      </c>
      <c r="H538" s="2">
        <f>(Query1[[#This Row],[Close]]-Query1[[#This Row],[IPO ISSUE PRICE]])/Query1[[#This Row],[IPO ISSUE PRICE]]</f>
        <v>0.31578947368421051</v>
      </c>
      <c r="I538" s="3">
        <f>(Query1[[#This Row],[Close]]-E537)/E537</f>
        <v>-2.1047479197258988E-2</v>
      </c>
    </row>
    <row r="539" spans="1:9">
      <c r="A539" s="1">
        <v>45190</v>
      </c>
      <c r="B539">
        <v>100</v>
      </c>
      <c r="C539">
        <v>100.95</v>
      </c>
      <c r="D539">
        <v>98.25</v>
      </c>
      <c r="E539">
        <v>99.15</v>
      </c>
      <c r="F539">
        <v>40591610</v>
      </c>
      <c r="G539">
        <v>76</v>
      </c>
      <c r="H539" s="2">
        <f>(Query1[[#This Row],[Close]]-Query1[[#This Row],[IPO ISSUE PRICE]])/Query1[[#This Row],[IPO ISSUE PRICE]]</f>
        <v>0.30460526315789482</v>
      </c>
      <c r="I539" s="3">
        <f>(Query1[[#This Row],[Close]]-E538)/E538</f>
        <v>-8.4999999999999434E-3</v>
      </c>
    </row>
    <row r="540" spans="1:9">
      <c r="A540" s="1">
        <v>45191</v>
      </c>
      <c r="B540">
        <v>99.5</v>
      </c>
      <c r="C540">
        <v>101.4</v>
      </c>
      <c r="D540">
        <v>98.7</v>
      </c>
      <c r="E540">
        <v>99.9</v>
      </c>
      <c r="F540">
        <v>39492720</v>
      </c>
      <c r="G540">
        <v>76</v>
      </c>
      <c r="H540" s="2">
        <f>(Query1[[#This Row],[Close]]-Query1[[#This Row],[IPO ISSUE PRICE]])/Query1[[#This Row],[IPO ISSUE PRICE]]</f>
        <v>0.31447368421052641</v>
      </c>
      <c r="I540" s="3">
        <f>(Query1[[#This Row],[Close]]-E539)/E539</f>
        <v>7.5642965204235999E-3</v>
      </c>
    </row>
    <row r="541" spans="1:9">
      <c r="A541" s="1">
        <v>45194</v>
      </c>
      <c r="B541">
        <v>100.3</v>
      </c>
      <c r="C541">
        <v>100.5</v>
      </c>
      <c r="D541">
        <v>97.75</v>
      </c>
      <c r="E541">
        <v>98.45</v>
      </c>
      <c r="F541">
        <v>34410970</v>
      </c>
      <c r="G541">
        <v>76</v>
      </c>
      <c r="H541" s="2">
        <f>(Query1[[#This Row],[Close]]-Query1[[#This Row],[IPO ISSUE PRICE]])/Query1[[#This Row],[IPO ISSUE PRICE]]</f>
        <v>0.29539473684210532</v>
      </c>
      <c r="I541" s="3">
        <f>(Query1[[#This Row],[Close]]-E540)/E540</f>
        <v>-1.4514514514514541E-2</v>
      </c>
    </row>
    <row r="542" spans="1:9">
      <c r="A542" s="1">
        <v>45195</v>
      </c>
      <c r="B542">
        <v>98.6</v>
      </c>
      <c r="C542">
        <v>100.4</v>
      </c>
      <c r="D542">
        <v>97.9</v>
      </c>
      <c r="E542">
        <v>99.9</v>
      </c>
      <c r="F542">
        <v>36822520</v>
      </c>
      <c r="G542">
        <v>76</v>
      </c>
      <c r="H542" s="2">
        <f>(Query1[[#This Row],[Close]]-Query1[[#This Row],[IPO ISSUE PRICE]])/Query1[[#This Row],[IPO ISSUE PRICE]]</f>
        <v>0.31447368421052641</v>
      </c>
      <c r="I542" s="3">
        <f>(Query1[[#This Row],[Close]]-E541)/E541</f>
        <v>1.472828847130526E-2</v>
      </c>
    </row>
    <row r="543" spans="1:9">
      <c r="A543" s="1">
        <v>45196</v>
      </c>
      <c r="B543">
        <v>99.9</v>
      </c>
      <c r="C543">
        <v>101.2</v>
      </c>
      <c r="D543">
        <v>98.5</v>
      </c>
      <c r="E543">
        <v>100.1</v>
      </c>
      <c r="F543">
        <v>34894250</v>
      </c>
      <c r="G543">
        <v>76</v>
      </c>
      <c r="H543" s="2">
        <f>(Query1[[#This Row],[Close]]-Query1[[#This Row],[IPO ISSUE PRICE]])/Query1[[#This Row],[IPO ISSUE PRICE]]</f>
        <v>0.31710526315789467</v>
      </c>
      <c r="I543" s="3">
        <f>(Query1[[#This Row],[Close]]-E542)/E542</f>
        <v>2.0020020020018879E-3</v>
      </c>
    </row>
    <row r="544" spans="1:9">
      <c r="A544" s="1">
        <v>45197</v>
      </c>
      <c r="B544">
        <v>100.35</v>
      </c>
      <c r="C544">
        <v>100.6</v>
      </c>
      <c r="D544">
        <v>99.3</v>
      </c>
      <c r="E544">
        <v>99.95</v>
      </c>
      <c r="F544">
        <v>25885380</v>
      </c>
      <c r="G544">
        <v>76</v>
      </c>
      <c r="H544" s="2">
        <f>(Query1[[#This Row],[Close]]-Query1[[#This Row],[IPO ISSUE PRICE]])/Query1[[#This Row],[IPO ISSUE PRICE]]</f>
        <v>0.31513157894736848</v>
      </c>
      <c r="I544" s="3">
        <f>(Query1[[#This Row],[Close]]-E543)/E543</f>
        <v>-1.4985014985014135E-3</v>
      </c>
    </row>
    <row r="545" spans="1:9">
      <c r="A545" s="1">
        <v>45198</v>
      </c>
      <c r="B545">
        <v>100.05</v>
      </c>
      <c r="C545">
        <v>102.75</v>
      </c>
      <c r="D545">
        <v>99.6</v>
      </c>
      <c r="E545">
        <v>101.5</v>
      </c>
      <c r="F545">
        <v>49524810</v>
      </c>
      <c r="G545">
        <v>76</v>
      </c>
      <c r="H545" s="2">
        <f>(Query1[[#This Row],[Close]]-Query1[[#This Row],[IPO ISSUE PRICE]])/Query1[[#This Row],[IPO ISSUE PRICE]]</f>
        <v>0.33552631578947367</v>
      </c>
      <c r="I545" s="3">
        <f>(Query1[[#This Row],[Close]]-E544)/E544</f>
        <v>1.5507753876938441E-2</v>
      </c>
    </row>
    <row r="546" spans="1:9">
      <c r="A546" s="1">
        <v>45202</v>
      </c>
      <c r="B546">
        <v>101</v>
      </c>
      <c r="C546">
        <v>105.9</v>
      </c>
      <c r="D546">
        <v>100</v>
      </c>
      <c r="E546">
        <v>105.3</v>
      </c>
      <c r="F546">
        <v>82983680</v>
      </c>
      <c r="G546">
        <v>76</v>
      </c>
      <c r="H546" s="2">
        <f>(Query1[[#This Row],[Close]]-Query1[[#This Row],[IPO ISSUE PRICE]])/Query1[[#This Row],[IPO ISSUE PRICE]]</f>
        <v>0.38552631578947366</v>
      </c>
      <c r="I546" s="3">
        <f>(Query1[[#This Row],[Close]]-E545)/E545</f>
        <v>3.7438423645320171E-2</v>
      </c>
    </row>
    <row r="547" spans="1:9">
      <c r="A547" s="1">
        <v>45203</v>
      </c>
      <c r="B547">
        <v>104.4</v>
      </c>
      <c r="C547">
        <v>104.4</v>
      </c>
      <c r="D547">
        <v>100.35</v>
      </c>
      <c r="E547">
        <v>100.75</v>
      </c>
      <c r="F547">
        <v>68727960</v>
      </c>
      <c r="G547">
        <v>76</v>
      </c>
      <c r="H547" s="2">
        <f>(Query1[[#This Row],[Close]]-Query1[[#This Row],[IPO ISSUE PRICE]])/Query1[[#This Row],[IPO ISSUE PRICE]]</f>
        <v>0.32565789473684209</v>
      </c>
      <c r="I547" s="3">
        <f>(Query1[[#This Row],[Close]]-E546)/E546</f>
        <v>-4.3209876543209853E-2</v>
      </c>
    </row>
    <row r="548" spans="1:9">
      <c r="A548" s="1">
        <v>45204</v>
      </c>
      <c r="B548">
        <v>102.6</v>
      </c>
      <c r="C548">
        <v>107.7</v>
      </c>
      <c r="D548">
        <v>102.35</v>
      </c>
      <c r="E548">
        <v>105.4</v>
      </c>
      <c r="F548">
        <v>140096800</v>
      </c>
      <c r="G548">
        <v>76</v>
      </c>
      <c r="H548" s="2">
        <f>(Query1[[#This Row],[Close]]-Query1[[#This Row],[IPO ISSUE PRICE]])/Query1[[#This Row],[IPO ISSUE PRICE]]</f>
        <v>0.38684210526315799</v>
      </c>
      <c r="I548" s="3">
        <f>(Query1[[#This Row],[Close]]-E547)/E547</f>
        <v>4.6153846153846212E-2</v>
      </c>
    </row>
    <row r="549" spans="1:9">
      <c r="A549" s="1">
        <v>45205</v>
      </c>
      <c r="B549">
        <v>106.4</v>
      </c>
      <c r="C549">
        <v>107.2</v>
      </c>
      <c r="D549">
        <v>104</v>
      </c>
      <c r="E549">
        <v>104.45</v>
      </c>
      <c r="F549">
        <v>65041430</v>
      </c>
      <c r="G549">
        <v>76</v>
      </c>
      <c r="H549" s="2">
        <f>(Query1[[#This Row],[Close]]-Query1[[#This Row],[IPO ISSUE PRICE]])/Query1[[#This Row],[IPO ISSUE PRICE]]</f>
        <v>0.37434210526315792</v>
      </c>
      <c r="I549" s="3">
        <f>(Query1[[#This Row],[Close]]-E548)/E548</f>
        <v>-9.0132827324478446E-3</v>
      </c>
    </row>
    <row r="550" spans="1:9">
      <c r="A550" s="1">
        <v>45208</v>
      </c>
      <c r="B550">
        <v>103.8</v>
      </c>
      <c r="C550">
        <v>105.25</v>
      </c>
      <c r="D550">
        <v>101</v>
      </c>
      <c r="E550">
        <v>103.9</v>
      </c>
      <c r="F550">
        <v>53811650</v>
      </c>
      <c r="G550">
        <v>76</v>
      </c>
      <c r="H550" s="2">
        <f>(Query1[[#This Row],[Close]]-Query1[[#This Row],[IPO ISSUE PRICE]])/Query1[[#This Row],[IPO ISSUE PRICE]]</f>
        <v>0.36710526315789482</v>
      </c>
      <c r="I550" s="3">
        <f>(Query1[[#This Row],[Close]]-E549)/E549</f>
        <v>-5.2656773575873346E-3</v>
      </c>
    </row>
    <row r="551" spans="1:9">
      <c r="A551" s="1">
        <v>45209</v>
      </c>
      <c r="B551">
        <v>104.9</v>
      </c>
      <c r="C551">
        <v>107.95</v>
      </c>
      <c r="D551">
        <v>104.65</v>
      </c>
      <c r="E551">
        <v>106.05</v>
      </c>
      <c r="F551">
        <v>67712320</v>
      </c>
      <c r="G551">
        <v>76</v>
      </c>
      <c r="H551" s="2">
        <f>(Query1[[#This Row],[Close]]-Query1[[#This Row],[IPO ISSUE PRICE]])/Query1[[#This Row],[IPO ISSUE PRICE]]</f>
        <v>0.39539473684210524</v>
      </c>
      <c r="I551" s="3">
        <f>(Query1[[#This Row],[Close]]-E550)/E550</f>
        <v>2.0692974013474412E-2</v>
      </c>
    </row>
    <row r="552" spans="1:9">
      <c r="A552" s="1">
        <v>45210</v>
      </c>
      <c r="B552">
        <v>106.8</v>
      </c>
      <c r="C552">
        <v>109.8</v>
      </c>
      <c r="D552">
        <v>106.55</v>
      </c>
      <c r="E552">
        <v>109</v>
      </c>
      <c r="F552">
        <v>93838780</v>
      </c>
      <c r="G552">
        <v>76</v>
      </c>
      <c r="H552" s="2">
        <f>(Query1[[#This Row],[Close]]-Query1[[#This Row],[IPO ISSUE PRICE]])/Query1[[#This Row],[IPO ISSUE PRICE]]</f>
        <v>0.43421052631578949</v>
      </c>
      <c r="I552" s="3">
        <f>(Query1[[#This Row],[Close]]-E551)/E551</f>
        <v>2.7817067421027845E-2</v>
      </c>
    </row>
    <row r="553" spans="1:9">
      <c r="A553" s="1">
        <v>45211</v>
      </c>
      <c r="B553">
        <v>110.2</v>
      </c>
      <c r="C553">
        <v>113.25</v>
      </c>
      <c r="D553">
        <v>109.5</v>
      </c>
      <c r="E553">
        <v>109.85</v>
      </c>
      <c r="F553">
        <v>117710800</v>
      </c>
      <c r="G553">
        <v>76</v>
      </c>
      <c r="H553" s="2">
        <f>(Query1[[#This Row],[Close]]-Query1[[#This Row],[IPO ISSUE PRICE]])/Query1[[#This Row],[IPO ISSUE PRICE]]</f>
        <v>0.44539473684210518</v>
      </c>
      <c r="I553" s="3">
        <f>(Query1[[#This Row],[Close]]-E552)/E552</f>
        <v>7.7981651376146264E-3</v>
      </c>
    </row>
    <row r="554" spans="1:9">
      <c r="A554" s="1">
        <v>45212</v>
      </c>
      <c r="B554">
        <v>109.85</v>
      </c>
      <c r="C554">
        <v>111.8</v>
      </c>
      <c r="D554">
        <v>109.1</v>
      </c>
      <c r="E554">
        <v>111</v>
      </c>
      <c r="F554">
        <v>55786060</v>
      </c>
      <c r="G554">
        <v>76</v>
      </c>
      <c r="H554" s="2">
        <f>(Query1[[#This Row],[Close]]-Query1[[#This Row],[IPO ISSUE PRICE]])/Query1[[#This Row],[IPO ISSUE PRICE]]</f>
        <v>0.46052631578947367</v>
      </c>
      <c r="I554" s="3">
        <f>(Query1[[#This Row],[Close]]-E553)/E553</f>
        <v>1.0468821119708746E-2</v>
      </c>
    </row>
    <row r="555" spans="1:9">
      <c r="A555" s="1">
        <v>45215</v>
      </c>
      <c r="B555">
        <v>111.9</v>
      </c>
      <c r="C555">
        <v>112.75</v>
      </c>
      <c r="D555">
        <v>110.85</v>
      </c>
      <c r="E555">
        <v>111.5</v>
      </c>
      <c r="F555">
        <v>47455520</v>
      </c>
      <c r="G555">
        <v>76</v>
      </c>
      <c r="H555" s="2">
        <f>(Query1[[#This Row],[Close]]-Query1[[#This Row],[IPO ISSUE PRICE]])/Query1[[#This Row],[IPO ISSUE PRICE]]</f>
        <v>0.46710526315789475</v>
      </c>
      <c r="I555" s="3">
        <f>(Query1[[#This Row],[Close]]-E554)/E554</f>
        <v>4.5045045045045045E-3</v>
      </c>
    </row>
    <row r="556" spans="1:9">
      <c r="A556" s="1">
        <v>45216</v>
      </c>
      <c r="B556">
        <v>112.5</v>
      </c>
      <c r="C556">
        <v>114.2</v>
      </c>
      <c r="D556">
        <v>111.5</v>
      </c>
      <c r="E556">
        <v>113.85</v>
      </c>
      <c r="F556">
        <v>55351890</v>
      </c>
      <c r="G556">
        <v>76</v>
      </c>
      <c r="H556" s="2">
        <f>(Query1[[#This Row],[Close]]-Query1[[#This Row],[IPO ISSUE PRICE]])/Query1[[#This Row],[IPO ISSUE PRICE]]</f>
        <v>0.49802631578947359</v>
      </c>
      <c r="I556" s="3">
        <f>(Query1[[#This Row],[Close]]-E555)/E555</f>
        <v>2.1076233183856451E-2</v>
      </c>
    </row>
    <row r="557" spans="1:9">
      <c r="A557" s="1">
        <v>45217</v>
      </c>
      <c r="B557">
        <v>114.5</v>
      </c>
      <c r="C557">
        <v>115.1</v>
      </c>
      <c r="D557">
        <v>109.5</v>
      </c>
      <c r="E557">
        <v>113.2</v>
      </c>
      <c r="F557">
        <v>100553800</v>
      </c>
      <c r="G557">
        <v>76</v>
      </c>
      <c r="H557" s="2">
        <f>(Query1[[#This Row],[Close]]-Query1[[#This Row],[IPO ISSUE PRICE]])/Query1[[#This Row],[IPO ISSUE PRICE]]</f>
        <v>0.48947368421052634</v>
      </c>
      <c r="I557" s="3">
        <f>(Query1[[#This Row],[Close]]-E556)/E556</f>
        <v>-5.7092665788317214E-3</v>
      </c>
    </row>
    <row r="558" spans="1:9">
      <c r="A558" s="1">
        <v>45218</v>
      </c>
      <c r="B558">
        <v>112</v>
      </c>
      <c r="C558">
        <v>113.15</v>
      </c>
      <c r="D558">
        <v>110.65</v>
      </c>
      <c r="E558">
        <v>111.65</v>
      </c>
      <c r="F558">
        <v>43517010</v>
      </c>
      <c r="G558">
        <v>76</v>
      </c>
      <c r="H558" s="2">
        <f>(Query1[[#This Row],[Close]]-Query1[[#This Row],[IPO ISSUE PRICE]])/Query1[[#This Row],[IPO ISSUE PRICE]]</f>
        <v>0.46907894736842115</v>
      </c>
      <c r="I558" s="3">
        <f>(Query1[[#This Row],[Close]]-E557)/E557</f>
        <v>-1.3692579505300327E-2</v>
      </c>
    </row>
    <row r="559" spans="1:9">
      <c r="A559" s="1">
        <v>45219</v>
      </c>
      <c r="B559">
        <v>114</v>
      </c>
      <c r="C559">
        <v>114.5</v>
      </c>
      <c r="D559">
        <v>112.15</v>
      </c>
      <c r="E559">
        <v>113.35</v>
      </c>
      <c r="F559">
        <v>64427430</v>
      </c>
      <c r="G559">
        <v>76</v>
      </c>
      <c r="H559" s="2">
        <f>(Query1[[#This Row],[Close]]-Query1[[#This Row],[IPO ISSUE PRICE]])/Query1[[#This Row],[IPO ISSUE PRICE]]</f>
        <v>0.49144736842105258</v>
      </c>
      <c r="I559" s="3">
        <f>(Query1[[#This Row],[Close]]-E558)/E558</f>
        <v>1.5226153157187537E-2</v>
      </c>
    </row>
    <row r="560" spans="1:9">
      <c r="A560" s="1">
        <v>45222</v>
      </c>
      <c r="B560">
        <v>113.8</v>
      </c>
      <c r="C560">
        <v>113.9</v>
      </c>
      <c r="D560">
        <v>106.8</v>
      </c>
      <c r="E560">
        <v>108.9</v>
      </c>
      <c r="F560">
        <v>70944550</v>
      </c>
      <c r="G560">
        <v>76</v>
      </c>
      <c r="H560" s="2">
        <f>(Query1[[#This Row],[Close]]-Query1[[#This Row],[IPO ISSUE PRICE]])/Query1[[#This Row],[IPO ISSUE PRICE]]</f>
        <v>0.43289473684210533</v>
      </c>
      <c r="I560" s="3">
        <f>(Query1[[#This Row],[Close]]-E559)/E559</f>
        <v>-3.9258932509924911E-2</v>
      </c>
    </row>
    <row r="561" spans="1:9">
      <c r="A561" s="1">
        <v>45224</v>
      </c>
      <c r="B561">
        <v>105.65</v>
      </c>
      <c r="C561">
        <v>109.5</v>
      </c>
      <c r="D561">
        <v>105.55</v>
      </c>
      <c r="E561">
        <v>108.25</v>
      </c>
      <c r="F561">
        <v>59685080</v>
      </c>
      <c r="G561">
        <v>76</v>
      </c>
      <c r="H561" s="2">
        <f>(Query1[[#This Row],[Close]]-Query1[[#This Row],[IPO ISSUE PRICE]])/Query1[[#This Row],[IPO ISSUE PRICE]]</f>
        <v>0.42434210526315791</v>
      </c>
      <c r="I561" s="3">
        <f>(Query1[[#This Row],[Close]]-E560)/E560</f>
        <v>-5.9687786960514752E-3</v>
      </c>
    </row>
    <row r="562" spans="1:9">
      <c r="A562" s="1">
        <v>45225</v>
      </c>
      <c r="B562">
        <v>107.5</v>
      </c>
      <c r="C562">
        <v>108</v>
      </c>
      <c r="D562">
        <v>101.25</v>
      </c>
      <c r="E562">
        <v>106.45</v>
      </c>
      <c r="F562">
        <v>108605500</v>
      </c>
      <c r="G562">
        <v>76</v>
      </c>
      <c r="H562" s="2">
        <f>(Query1[[#This Row],[Close]]-Query1[[#This Row],[IPO ISSUE PRICE]])/Query1[[#This Row],[IPO ISSUE PRICE]]</f>
        <v>0.40065789473684216</v>
      </c>
      <c r="I562" s="3">
        <f>(Query1[[#This Row],[Close]]-E561)/E561</f>
        <v>-1.6628175519630459E-2</v>
      </c>
    </row>
    <row r="563" spans="1:9">
      <c r="A563" s="1">
        <v>45226</v>
      </c>
      <c r="B563">
        <v>107.35</v>
      </c>
      <c r="C563">
        <v>109.25</v>
      </c>
      <c r="D563">
        <v>105.05</v>
      </c>
      <c r="E563">
        <v>105.65</v>
      </c>
      <c r="F563">
        <v>43738540</v>
      </c>
      <c r="G563">
        <v>76</v>
      </c>
      <c r="H563" s="2">
        <f>(Query1[[#This Row],[Close]]-Query1[[#This Row],[IPO ISSUE PRICE]])/Query1[[#This Row],[IPO ISSUE PRICE]]</f>
        <v>0.3901315789473685</v>
      </c>
      <c r="I563" s="3">
        <f>(Query1[[#This Row],[Close]]-E562)/E562</f>
        <v>-7.5152653828088039E-3</v>
      </c>
    </row>
    <row r="564" spans="1:9">
      <c r="A564" s="1">
        <v>45229</v>
      </c>
      <c r="B564">
        <v>106.2</v>
      </c>
      <c r="C564">
        <v>108.6</v>
      </c>
      <c r="D564">
        <v>105.7</v>
      </c>
      <c r="E564">
        <v>107.7</v>
      </c>
      <c r="F564">
        <v>48282250</v>
      </c>
      <c r="G564">
        <v>76</v>
      </c>
      <c r="H564" s="2">
        <f>(Query1[[#This Row],[Close]]-Query1[[#This Row],[IPO ISSUE PRICE]])/Query1[[#This Row],[IPO ISSUE PRICE]]</f>
        <v>0.41710526315789476</v>
      </c>
      <c r="I564" s="3">
        <f>(Query1[[#This Row],[Close]]-E563)/E563</f>
        <v>1.9403691433980096E-2</v>
      </c>
    </row>
    <row r="565" spans="1:9">
      <c r="A565" s="1">
        <v>45230</v>
      </c>
      <c r="B565">
        <v>107.85</v>
      </c>
      <c r="C565">
        <v>108.15</v>
      </c>
      <c r="D565">
        <v>104.25</v>
      </c>
      <c r="E565">
        <v>105.1</v>
      </c>
      <c r="F565">
        <v>49382530</v>
      </c>
      <c r="G565">
        <v>76</v>
      </c>
      <c r="H565" s="2">
        <f>(Query1[[#This Row],[Close]]-Query1[[#This Row],[IPO ISSUE PRICE]])/Query1[[#This Row],[IPO ISSUE PRICE]]</f>
        <v>0.38289473684210518</v>
      </c>
      <c r="I565" s="3">
        <f>(Query1[[#This Row],[Close]]-E564)/E564</f>
        <v>-2.4141132776230347E-2</v>
      </c>
    </row>
    <row r="566" spans="1:9">
      <c r="A566" s="1">
        <v>45231</v>
      </c>
      <c r="B566">
        <v>105.6</v>
      </c>
      <c r="C566">
        <v>107.15</v>
      </c>
      <c r="D566">
        <v>103.25</v>
      </c>
      <c r="E566">
        <v>103.7</v>
      </c>
      <c r="F566">
        <v>47911250</v>
      </c>
      <c r="G566">
        <v>76</v>
      </c>
      <c r="H566" s="2">
        <f>(Query1[[#This Row],[Close]]-Query1[[#This Row],[IPO ISSUE PRICE]])/Query1[[#This Row],[IPO ISSUE PRICE]]</f>
        <v>0.36447368421052634</v>
      </c>
      <c r="I566" s="3">
        <f>(Query1[[#This Row],[Close]]-E565)/E565</f>
        <v>-1.3320647002854343E-2</v>
      </c>
    </row>
    <row r="567" spans="1:9">
      <c r="A567" s="1">
        <v>45232</v>
      </c>
      <c r="B567">
        <v>105</v>
      </c>
      <c r="C567">
        <v>108</v>
      </c>
      <c r="D567">
        <v>104.9</v>
      </c>
      <c r="E567">
        <v>107.55</v>
      </c>
      <c r="F567">
        <v>47086200</v>
      </c>
      <c r="G567">
        <v>76</v>
      </c>
      <c r="H567" s="2">
        <f>(Query1[[#This Row],[Close]]-Query1[[#This Row],[IPO ISSUE PRICE]])/Query1[[#This Row],[IPO ISSUE PRICE]]</f>
        <v>0.41513157894736841</v>
      </c>
      <c r="I567" s="3">
        <f>(Query1[[#This Row],[Close]]-E566)/E566</f>
        <v>3.7126325940212097E-2</v>
      </c>
    </row>
    <row r="568" spans="1:9">
      <c r="A568" s="1">
        <v>45233</v>
      </c>
      <c r="B568">
        <v>108.8</v>
      </c>
      <c r="C568">
        <v>119.9</v>
      </c>
      <c r="D568">
        <v>108.7</v>
      </c>
      <c r="E568">
        <v>116.5</v>
      </c>
      <c r="F568">
        <v>238833300</v>
      </c>
      <c r="G568">
        <v>76</v>
      </c>
      <c r="H568" s="2">
        <f>(Query1[[#This Row],[Close]]-Query1[[#This Row],[IPO ISSUE PRICE]])/Query1[[#This Row],[IPO ISSUE PRICE]]</f>
        <v>0.53289473684210531</v>
      </c>
      <c r="I568" s="3">
        <f>(Query1[[#This Row],[Close]]-E567)/E567</f>
        <v>8.3217108321710864E-2</v>
      </c>
    </row>
    <row r="569" spans="1:9">
      <c r="A569" s="1">
        <v>45236</v>
      </c>
      <c r="B569">
        <v>119.6</v>
      </c>
      <c r="C569">
        <v>123.9</v>
      </c>
      <c r="D569">
        <v>118.25</v>
      </c>
      <c r="E569">
        <v>123.3</v>
      </c>
      <c r="F569">
        <v>186288900</v>
      </c>
      <c r="G569">
        <v>76</v>
      </c>
      <c r="H569" s="2">
        <f>(Query1[[#This Row],[Close]]-Query1[[#This Row],[IPO ISSUE PRICE]])/Query1[[#This Row],[IPO ISSUE PRICE]]</f>
        <v>0.62236842105263157</v>
      </c>
      <c r="I569" s="3">
        <f>(Query1[[#This Row],[Close]]-E568)/E568</f>
        <v>5.8369098712446325E-2</v>
      </c>
    </row>
    <row r="570" spans="1:9">
      <c r="A570" s="1">
        <v>45237</v>
      </c>
      <c r="B570">
        <v>123.55</v>
      </c>
      <c r="C570">
        <v>126.35</v>
      </c>
      <c r="D570">
        <v>120.5</v>
      </c>
      <c r="E570">
        <v>121.3</v>
      </c>
      <c r="F570">
        <v>120886000</v>
      </c>
      <c r="G570">
        <v>76</v>
      </c>
      <c r="H570" s="2">
        <f>(Query1[[#This Row],[Close]]-Query1[[#This Row],[IPO ISSUE PRICE]])/Query1[[#This Row],[IPO ISSUE PRICE]]</f>
        <v>0.59605263157894728</v>
      </c>
      <c r="I570" s="3">
        <f>(Query1[[#This Row],[Close]]-E569)/E569</f>
        <v>-1.6220600162206E-2</v>
      </c>
    </row>
    <row r="571" spans="1:9">
      <c r="A571" s="1">
        <v>45238</v>
      </c>
      <c r="B571">
        <v>122</v>
      </c>
      <c r="C571">
        <v>125.7</v>
      </c>
      <c r="D571">
        <v>121.3</v>
      </c>
      <c r="E571">
        <v>125.15</v>
      </c>
      <c r="F571">
        <v>75041680</v>
      </c>
      <c r="G571">
        <v>76</v>
      </c>
      <c r="H571" s="2">
        <f>(Query1[[#This Row],[Close]]-Query1[[#This Row],[IPO ISSUE PRICE]])/Query1[[#This Row],[IPO ISSUE PRICE]]</f>
        <v>0.64671052631578951</v>
      </c>
      <c r="I571" s="3">
        <f>(Query1[[#This Row],[Close]]-E570)/E570</f>
        <v>3.1739488870568912E-2</v>
      </c>
    </row>
    <row r="572" spans="1:9">
      <c r="A572" s="1">
        <v>45239</v>
      </c>
      <c r="B572">
        <v>125.25</v>
      </c>
      <c r="C572">
        <v>125.55</v>
      </c>
      <c r="D572">
        <v>121.35</v>
      </c>
      <c r="E572">
        <v>121.85</v>
      </c>
      <c r="F572">
        <v>50307830</v>
      </c>
      <c r="G572">
        <v>76</v>
      </c>
      <c r="H572" s="2">
        <f>(Query1[[#This Row],[Close]]-Query1[[#This Row],[IPO ISSUE PRICE]])/Query1[[#This Row],[IPO ISSUE PRICE]]</f>
        <v>0.60328947368421049</v>
      </c>
      <c r="I572" s="3">
        <f>(Query1[[#This Row],[Close]]-E571)/E571</f>
        <v>-2.6368357970435567E-2</v>
      </c>
    </row>
    <row r="573" spans="1:9">
      <c r="A573" s="1">
        <v>45240</v>
      </c>
      <c r="B573">
        <v>122</v>
      </c>
      <c r="C573">
        <v>123.3</v>
      </c>
      <c r="D573">
        <v>120.7</v>
      </c>
      <c r="E573">
        <v>121.3</v>
      </c>
      <c r="F573">
        <v>43388160</v>
      </c>
      <c r="G573">
        <v>76</v>
      </c>
      <c r="H573" s="2">
        <f>(Query1[[#This Row],[Close]]-Query1[[#This Row],[IPO ISSUE PRICE]])/Query1[[#This Row],[IPO ISSUE PRICE]]</f>
        <v>0.59605263157894728</v>
      </c>
      <c r="I573" s="3">
        <f>(Query1[[#This Row],[Close]]-E572)/E572</f>
        <v>-4.513746409519878E-3</v>
      </c>
    </row>
    <row r="574" spans="1:9">
      <c r="A574" s="1">
        <v>45243</v>
      </c>
      <c r="B574">
        <v>122.65</v>
      </c>
      <c r="C574">
        <v>123.1</v>
      </c>
      <c r="D574">
        <v>121.5</v>
      </c>
      <c r="E574">
        <v>122.2</v>
      </c>
      <c r="F574">
        <v>28348140</v>
      </c>
      <c r="G574">
        <v>76</v>
      </c>
      <c r="H574" s="2">
        <f>(Query1[[#This Row],[Close]]-Query1[[#This Row],[IPO ISSUE PRICE]])/Query1[[#This Row],[IPO ISSUE PRICE]]</f>
        <v>0.60789473684210527</v>
      </c>
      <c r="I574" s="3">
        <f>(Query1[[#This Row],[Close]]-E573)/E573</f>
        <v>7.4196207749382169E-3</v>
      </c>
    </row>
    <row r="575" spans="1:9">
      <c r="A575" s="1">
        <v>45245</v>
      </c>
      <c r="B575">
        <v>123.3</v>
      </c>
      <c r="C575">
        <v>125.2</v>
      </c>
      <c r="D575">
        <v>119.75</v>
      </c>
      <c r="E575">
        <v>120.25</v>
      </c>
      <c r="F575">
        <v>60088810</v>
      </c>
      <c r="G575">
        <v>76</v>
      </c>
      <c r="H575" s="2">
        <f>(Query1[[#This Row],[Close]]-Query1[[#This Row],[IPO ISSUE PRICE]])/Query1[[#This Row],[IPO ISSUE PRICE]]</f>
        <v>0.58223684210526316</v>
      </c>
      <c r="I575" s="3">
        <f>(Query1[[#This Row],[Close]]-E574)/E574</f>
        <v>-1.5957446808510661E-2</v>
      </c>
    </row>
    <row r="576" spans="1:9">
      <c r="A576" s="1">
        <v>45246</v>
      </c>
      <c r="B576">
        <v>120.9</v>
      </c>
      <c r="C576">
        <v>122.55</v>
      </c>
      <c r="D576">
        <v>120.7</v>
      </c>
      <c r="E576">
        <v>121.85</v>
      </c>
      <c r="F576">
        <v>36895080</v>
      </c>
      <c r="G576">
        <v>76</v>
      </c>
      <c r="H576" s="2">
        <f>(Query1[[#This Row],[Close]]-Query1[[#This Row],[IPO ISSUE PRICE]])/Query1[[#This Row],[IPO ISSUE PRICE]]</f>
        <v>0.60328947368421049</v>
      </c>
      <c r="I576" s="3">
        <f>(Query1[[#This Row],[Close]]-E575)/E575</f>
        <v>1.3305613305613258E-2</v>
      </c>
    </row>
    <row r="577" spans="1:9">
      <c r="A577" s="1">
        <v>45247</v>
      </c>
      <c r="B577">
        <v>122</v>
      </c>
      <c r="C577">
        <v>125</v>
      </c>
      <c r="D577">
        <v>121.5</v>
      </c>
      <c r="E577">
        <v>122.2</v>
      </c>
      <c r="F577">
        <v>43882210</v>
      </c>
      <c r="G577">
        <v>76</v>
      </c>
      <c r="H577" s="2">
        <f>(Query1[[#This Row],[Close]]-Query1[[#This Row],[IPO ISSUE PRICE]])/Query1[[#This Row],[IPO ISSUE PRICE]]</f>
        <v>0.60789473684210527</v>
      </c>
      <c r="I577" s="3">
        <f>(Query1[[#This Row],[Close]]-E576)/E576</f>
        <v>2.8723840787854621E-3</v>
      </c>
    </row>
    <row r="578" spans="1:9">
      <c r="A578" s="1">
        <v>45250</v>
      </c>
      <c r="B578">
        <v>122.85</v>
      </c>
      <c r="C578">
        <v>123.4</v>
      </c>
      <c r="D578">
        <v>117.35</v>
      </c>
      <c r="E578">
        <v>118.15</v>
      </c>
      <c r="F578">
        <v>52784470</v>
      </c>
      <c r="G578">
        <v>76</v>
      </c>
      <c r="H578" s="2">
        <f>(Query1[[#This Row],[Close]]-Query1[[#This Row],[IPO ISSUE PRICE]])/Query1[[#This Row],[IPO ISSUE PRICE]]</f>
        <v>0.55460526315789482</v>
      </c>
      <c r="I578" s="3">
        <f>(Query1[[#This Row],[Close]]-E577)/E577</f>
        <v>-3.3142389525368222E-2</v>
      </c>
    </row>
    <row r="579" spans="1:9">
      <c r="A579" s="1">
        <v>45251</v>
      </c>
      <c r="B579">
        <v>118.55</v>
      </c>
      <c r="C579">
        <v>119</v>
      </c>
      <c r="D579">
        <v>116.05</v>
      </c>
      <c r="E579">
        <v>116.5</v>
      </c>
      <c r="F579">
        <v>45193550</v>
      </c>
      <c r="G579">
        <v>76</v>
      </c>
      <c r="H579" s="2">
        <f>(Query1[[#This Row],[Close]]-Query1[[#This Row],[IPO ISSUE PRICE]])/Query1[[#This Row],[IPO ISSUE PRICE]]</f>
        <v>0.53289473684210531</v>
      </c>
      <c r="I579" s="3">
        <f>(Query1[[#This Row],[Close]]-E578)/E578</f>
        <v>-1.3965298349555698E-2</v>
      </c>
    </row>
    <row r="580" spans="1:9">
      <c r="A580" s="1">
        <v>45252</v>
      </c>
      <c r="B580">
        <v>116</v>
      </c>
      <c r="C580">
        <v>117.8</v>
      </c>
      <c r="D580">
        <v>114.35</v>
      </c>
      <c r="E580">
        <v>115.3</v>
      </c>
      <c r="F580">
        <v>52799860</v>
      </c>
      <c r="G580">
        <v>76</v>
      </c>
      <c r="H580" s="2">
        <f>(Query1[[#This Row],[Close]]-Query1[[#This Row],[IPO ISSUE PRICE]])/Query1[[#This Row],[IPO ISSUE PRICE]]</f>
        <v>0.51710526315789473</v>
      </c>
      <c r="I580" s="3">
        <f>(Query1[[#This Row],[Close]]-E579)/E579</f>
        <v>-1.0300429184549381E-2</v>
      </c>
    </row>
    <row r="581" spans="1:9">
      <c r="A581" s="1">
        <v>45253</v>
      </c>
      <c r="B581">
        <v>113.6</v>
      </c>
      <c r="C581">
        <v>115.75</v>
      </c>
      <c r="D581">
        <v>112.5</v>
      </c>
      <c r="E581">
        <v>112.95</v>
      </c>
      <c r="F581">
        <v>56329090</v>
      </c>
      <c r="G581">
        <v>76</v>
      </c>
      <c r="H581" s="2">
        <f>(Query1[[#This Row],[Close]]-Query1[[#This Row],[IPO ISSUE PRICE]])/Query1[[#This Row],[IPO ISSUE PRICE]]</f>
        <v>0.48618421052631583</v>
      </c>
      <c r="I581" s="3">
        <f>(Query1[[#This Row],[Close]]-E580)/E580</f>
        <v>-2.0381613183000819E-2</v>
      </c>
    </row>
    <row r="582" spans="1:9">
      <c r="A582" s="1">
        <v>45254</v>
      </c>
      <c r="B582">
        <v>114.15</v>
      </c>
      <c r="C582">
        <v>116</v>
      </c>
      <c r="D582">
        <v>112.9</v>
      </c>
      <c r="E582">
        <v>113.25</v>
      </c>
      <c r="F582">
        <v>49980080</v>
      </c>
      <c r="G582">
        <v>76</v>
      </c>
      <c r="H582" s="2">
        <f>(Query1[[#This Row],[Close]]-Query1[[#This Row],[IPO ISSUE PRICE]])/Query1[[#This Row],[IPO ISSUE PRICE]]</f>
        <v>0.49013157894736842</v>
      </c>
      <c r="I582" s="3">
        <f>(Query1[[#This Row],[Close]]-E581)/E581</f>
        <v>2.6560424966799215E-3</v>
      </c>
    </row>
    <row r="583" spans="1:9">
      <c r="A583" s="1">
        <v>45258</v>
      </c>
      <c r="B583">
        <v>114.9</v>
      </c>
      <c r="C583">
        <v>116.9</v>
      </c>
      <c r="D583">
        <v>113.5</v>
      </c>
      <c r="E583">
        <v>113.8</v>
      </c>
      <c r="F583">
        <v>61963720</v>
      </c>
      <c r="G583">
        <v>76</v>
      </c>
      <c r="H583" s="2">
        <f>(Query1[[#This Row],[Close]]-Query1[[#This Row],[IPO ISSUE PRICE]])/Query1[[#This Row],[IPO ISSUE PRICE]]</f>
        <v>0.49736842105263152</v>
      </c>
      <c r="I583" s="3">
        <f>(Query1[[#This Row],[Close]]-E582)/E582</f>
        <v>4.856512141280328E-3</v>
      </c>
    </row>
    <row r="584" spans="1:9">
      <c r="A584" s="1">
        <v>45259</v>
      </c>
      <c r="B584">
        <v>117</v>
      </c>
      <c r="C584">
        <v>119.2</v>
      </c>
      <c r="D584">
        <v>114</v>
      </c>
      <c r="E584">
        <v>116.6</v>
      </c>
      <c r="F584">
        <v>115274000</v>
      </c>
      <c r="G584">
        <v>76</v>
      </c>
      <c r="H584" s="2">
        <f>(Query1[[#This Row],[Close]]-Query1[[#This Row],[IPO ISSUE PRICE]])/Query1[[#This Row],[IPO ISSUE PRICE]]</f>
        <v>0.53421052631578936</v>
      </c>
      <c r="I584" s="3">
        <f>(Query1[[#This Row],[Close]]-E583)/E583</f>
        <v>2.4604569420035124E-2</v>
      </c>
    </row>
    <row r="585" spans="1:9">
      <c r="A585" s="1">
        <v>45260</v>
      </c>
      <c r="B585">
        <v>118.8</v>
      </c>
      <c r="C585">
        <v>120.7</v>
      </c>
      <c r="D585">
        <v>116.15</v>
      </c>
      <c r="E585">
        <v>118.55</v>
      </c>
      <c r="F585">
        <v>225208100</v>
      </c>
      <c r="G585">
        <v>76</v>
      </c>
      <c r="H585" s="2">
        <f>(Query1[[#This Row],[Close]]-Query1[[#This Row],[IPO ISSUE PRICE]])/Query1[[#This Row],[IPO ISSUE PRICE]]</f>
        <v>0.55986842105263157</v>
      </c>
      <c r="I585" s="3">
        <f>(Query1[[#This Row],[Close]]-E584)/E584</f>
        <v>1.6723842195540333E-2</v>
      </c>
    </row>
    <row r="586" spans="1:9">
      <c r="A586" s="1">
        <v>45261</v>
      </c>
      <c r="B586">
        <v>118</v>
      </c>
      <c r="C586">
        <v>118.35</v>
      </c>
      <c r="D586">
        <v>115.1</v>
      </c>
      <c r="E586">
        <v>116.3</v>
      </c>
      <c r="F586">
        <v>57261070</v>
      </c>
      <c r="G586">
        <v>76</v>
      </c>
      <c r="H586" s="2">
        <f>(Query1[[#This Row],[Close]]-Query1[[#This Row],[IPO ISSUE PRICE]])/Query1[[#This Row],[IPO ISSUE PRICE]]</f>
        <v>0.53026315789473677</v>
      </c>
      <c r="I586" s="3">
        <f>(Query1[[#This Row],[Close]]-E585)/E585</f>
        <v>-1.8979333614508646E-2</v>
      </c>
    </row>
    <row r="587" spans="1:9">
      <c r="A587" s="1">
        <v>45264</v>
      </c>
      <c r="B587">
        <v>118.75</v>
      </c>
      <c r="C587">
        <v>119</v>
      </c>
      <c r="D587">
        <v>116.25</v>
      </c>
      <c r="E587">
        <v>117.4</v>
      </c>
      <c r="F587">
        <v>66057180</v>
      </c>
      <c r="G587">
        <v>76</v>
      </c>
      <c r="H587" s="2">
        <f>(Query1[[#This Row],[Close]]-Query1[[#This Row],[IPO ISSUE PRICE]])/Query1[[#This Row],[IPO ISSUE PRICE]]</f>
        <v>0.54473684210526319</v>
      </c>
      <c r="I587" s="3">
        <f>(Query1[[#This Row],[Close]]-E586)/E586</f>
        <v>9.4582975064489132E-3</v>
      </c>
    </row>
    <row r="588" spans="1:9">
      <c r="A588" s="1">
        <v>45265</v>
      </c>
      <c r="B588">
        <v>117.9</v>
      </c>
      <c r="C588">
        <v>118.25</v>
      </c>
      <c r="D588">
        <v>116.25</v>
      </c>
      <c r="E588">
        <v>116.75</v>
      </c>
      <c r="F588">
        <v>57483300</v>
      </c>
      <c r="G588">
        <v>76</v>
      </c>
      <c r="H588" s="2">
        <f>(Query1[[#This Row],[Close]]-Query1[[#This Row],[IPO ISSUE PRICE]])/Query1[[#This Row],[IPO ISSUE PRICE]]</f>
        <v>0.53618421052631582</v>
      </c>
      <c r="I588" s="3">
        <f>(Query1[[#This Row],[Close]]-E587)/E587</f>
        <v>-5.5366269165247504E-3</v>
      </c>
    </row>
    <row r="589" spans="1:9">
      <c r="A589" s="1">
        <v>45266</v>
      </c>
      <c r="B589">
        <v>117.15</v>
      </c>
      <c r="C589">
        <v>119.7</v>
      </c>
      <c r="D589">
        <v>116.6</v>
      </c>
      <c r="E589">
        <v>118.9</v>
      </c>
      <c r="F589">
        <v>48171750</v>
      </c>
      <c r="G589">
        <v>76</v>
      </c>
      <c r="H589" s="2">
        <f>(Query1[[#This Row],[Close]]-Query1[[#This Row],[IPO ISSUE PRICE]])/Query1[[#This Row],[IPO ISSUE PRICE]]</f>
        <v>0.56447368421052635</v>
      </c>
      <c r="I589" s="3">
        <f>(Query1[[#This Row],[Close]]-E588)/E588</f>
        <v>1.8415417558886558E-2</v>
      </c>
    </row>
    <row r="590" spans="1:9">
      <c r="A590" s="1">
        <v>45267</v>
      </c>
      <c r="B590">
        <v>119.6</v>
      </c>
      <c r="C590">
        <v>122.2</v>
      </c>
      <c r="D590">
        <v>118.4</v>
      </c>
      <c r="E590">
        <v>121.7</v>
      </c>
      <c r="F590">
        <v>52483560</v>
      </c>
      <c r="G590">
        <v>76</v>
      </c>
      <c r="H590" s="2">
        <f>(Query1[[#This Row],[Close]]-Query1[[#This Row],[IPO ISSUE PRICE]])/Query1[[#This Row],[IPO ISSUE PRICE]]</f>
        <v>0.60131578947368425</v>
      </c>
      <c r="I590" s="3">
        <f>(Query1[[#This Row],[Close]]-E589)/E589</f>
        <v>2.3549201009251446E-2</v>
      </c>
    </row>
    <row r="591" spans="1:9">
      <c r="A591" s="1">
        <v>45268</v>
      </c>
      <c r="B591">
        <v>123</v>
      </c>
      <c r="C591">
        <v>123.9</v>
      </c>
      <c r="D591">
        <v>119.3</v>
      </c>
      <c r="E591">
        <v>119.95</v>
      </c>
      <c r="F591">
        <v>44213190</v>
      </c>
      <c r="G591">
        <v>76</v>
      </c>
      <c r="H591" s="2">
        <f>(Query1[[#This Row],[Close]]-Query1[[#This Row],[IPO ISSUE PRICE]])/Query1[[#This Row],[IPO ISSUE PRICE]]</f>
        <v>0.57828947368421058</v>
      </c>
      <c r="I591" s="3">
        <f>(Query1[[#This Row],[Close]]-E590)/E590</f>
        <v>-1.4379622021364009E-2</v>
      </c>
    </row>
    <row r="592" spans="1:9">
      <c r="A592" s="1">
        <v>45271</v>
      </c>
      <c r="B592">
        <v>119.95</v>
      </c>
      <c r="C592">
        <v>120.5</v>
      </c>
      <c r="D592">
        <v>117.55</v>
      </c>
      <c r="E592">
        <v>118.45</v>
      </c>
      <c r="F592">
        <v>32372280</v>
      </c>
      <c r="G592">
        <v>76</v>
      </c>
      <c r="H592" s="2">
        <f>(Query1[[#This Row],[Close]]-Query1[[#This Row],[IPO ISSUE PRICE]])/Query1[[#This Row],[IPO ISSUE PRICE]]</f>
        <v>0.55855263157894741</v>
      </c>
      <c r="I592" s="3">
        <f>(Query1[[#This Row],[Close]]-E591)/E591</f>
        <v>-1.2505210504376823E-2</v>
      </c>
    </row>
    <row r="593" spans="1:9">
      <c r="A593" s="1">
        <v>45272</v>
      </c>
      <c r="B593">
        <v>119</v>
      </c>
      <c r="C593">
        <v>119.3</v>
      </c>
      <c r="D593">
        <v>114.15</v>
      </c>
      <c r="E593">
        <v>116.75</v>
      </c>
      <c r="F593">
        <v>40800530</v>
      </c>
      <c r="G593">
        <v>76</v>
      </c>
      <c r="H593" s="2">
        <f>(Query1[[#This Row],[Close]]-Query1[[#This Row],[IPO ISSUE PRICE]])/Query1[[#This Row],[IPO ISSUE PRICE]]</f>
        <v>0.53618421052631582</v>
      </c>
      <c r="I593" s="3">
        <f>(Query1[[#This Row],[Close]]-E592)/E592</f>
        <v>-1.4352047277332232E-2</v>
      </c>
    </row>
    <row r="594" spans="1:9">
      <c r="A594" s="1">
        <v>45273</v>
      </c>
      <c r="B594">
        <v>116.9</v>
      </c>
      <c r="C594">
        <v>120.5</v>
      </c>
      <c r="D594">
        <v>116.15</v>
      </c>
      <c r="E594">
        <v>120</v>
      </c>
      <c r="F594">
        <v>48092320</v>
      </c>
      <c r="G594">
        <v>76</v>
      </c>
      <c r="H594" s="2">
        <f>(Query1[[#This Row],[Close]]-Query1[[#This Row],[IPO ISSUE PRICE]])/Query1[[#This Row],[IPO ISSUE PRICE]]</f>
        <v>0.57894736842105265</v>
      </c>
      <c r="I594" s="3">
        <f>(Query1[[#This Row],[Close]]-E593)/E593</f>
        <v>2.7837259100642397E-2</v>
      </c>
    </row>
    <row r="595" spans="1:9">
      <c r="A595" s="1">
        <v>45274</v>
      </c>
      <c r="B595">
        <v>121</v>
      </c>
      <c r="C595">
        <v>124.95</v>
      </c>
      <c r="D595">
        <v>120.5</v>
      </c>
      <c r="E595">
        <v>124.15</v>
      </c>
      <c r="F595">
        <v>74178490</v>
      </c>
      <c r="G595">
        <v>76</v>
      </c>
      <c r="H595" s="2">
        <f>(Query1[[#This Row],[Close]]-Query1[[#This Row],[IPO ISSUE PRICE]])/Query1[[#This Row],[IPO ISSUE PRICE]]</f>
        <v>0.63355263157894748</v>
      </c>
      <c r="I595" s="3">
        <f>(Query1[[#This Row],[Close]]-E594)/E594</f>
        <v>3.4583333333333383E-2</v>
      </c>
    </row>
    <row r="596" spans="1:9">
      <c r="A596" s="1">
        <v>45275</v>
      </c>
      <c r="B596">
        <v>124.5</v>
      </c>
      <c r="C596">
        <v>125</v>
      </c>
      <c r="D596">
        <v>122.4</v>
      </c>
      <c r="E596">
        <v>123.6</v>
      </c>
      <c r="F596">
        <v>39542770</v>
      </c>
      <c r="G596">
        <v>76</v>
      </c>
      <c r="H596" s="2">
        <f>(Query1[[#This Row],[Close]]-Query1[[#This Row],[IPO ISSUE PRICE]])/Query1[[#This Row],[IPO ISSUE PRICE]]</f>
        <v>0.62631578947368416</v>
      </c>
      <c r="I596" s="3">
        <f>(Query1[[#This Row],[Close]]-E595)/E595</f>
        <v>-4.4301248489731077E-3</v>
      </c>
    </row>
    <row r="597" spans="1:9">
      <c r="A597" s="1">
        <v>45278</v>
      </c>
      <c r="B597">
        <v>123.4</v>
      </c>
      <c r="C597">
        <v>129.19999999999999</v>
      </c>
      <c r="D597">
        <v>121.55</v>
      </c>
      <c r="E597">
        <v>128.55000000000001</v>
      </c>
      <c r="F597">
        <v>89553150</v>
      </c>
      <c r="G597">
        <v>76</v>
      </c>
      <c r="H597" s="2">
        <f>(Query1[[#This Row],[Close]]-Query1[[#This Row],[IPO ISSUE PRICE]])/Query1[[#This Row],[IPO ISSUE PRICE]]</f>
        <v>0.69144736842105281</v>
      </c>
      <c r="I597" s="3">
        <f>(Query1[[#This Row],[Close]]-E596)/E596</f>
        <v>4.004854368932053E-2</v>
      </c>
    </row>
    <row r="598" spans="1:9">
      <c r="A598" s="1">
        <v>45279</v>
      </c>
      <c r="B598">
        <v>129</v>
      </c>
      <c r="C598">
        <v>131.75</v>
      </c>
      <c r="D598">
        <v>127.4</v>
      </c>
      <c r="E598">
        <v>130.25</v>
      </c>
      <c r="F598">
        <v>64117310</v>
      </c>
      <c r="G598">
        <v>76</v>
      </c>
      <c r="H598" s="2">
        <f>(Query1[[#This Row],[Close]]-Query1[[#This Row],[IPO ISSUE PRICE]])/Query1[[#This Row],[IPO ISSUE PRICE]]</f>
        <v>0.71381578947368418</v>
      </c>
      <c r="I598" s="3">
        <f>(Query1[[#This Row],[Close]]-E597)/E597</f>
        <v>1.3224426293271011E-2</v>
      </c>
    </row>
    <row r="599" spans="1:9">
      <c r="A599" s="1">
        <v>45280</v>
      </c>
      <c r="B599">
        <v>130.35</v>
      </c>
      <c r="C599">
        <v>131</v>
      </c>
      <c r="D599">
        <v>123.15</v>
      </c>
      <c r="E599">
        <v>124.75</v>
      </c>
      <c r="F599">
        <v>49006050</v>
      </c>
      <c r="G599">
        <v>76</v>
      </c>
      <c r="H599" s="2">
        <f>(Query1[[#This Row],[Close]]-Query1[[#This Row],[IPO ISSUE PRICE]])/Query1[[#This Row],[IPO ISSUE PRICE]]</f>
        <v>0.64144736842105265</v>
      </c>
      <c r="I599" s="3">
        <f>(Query1[[#This Row],[Close]]-E598)/E598</f>
        <v>-4.2226487523992322E-2</v>
      </c>
    </row>
    <row r="600" spans="1:9">
      <c r="A600" s="1">
        <v>45281</v>
      </c>
      <c r="B600">
        <v>122.15</v>
      </c>
      <c r="C600">
        <v>128.69999999999999</v>
      </c>
      <c r="D600">
        <v>120.2</v>
      </c>
      <c r="E600">
        <v>127.35</v>
      </c>
      <c r="F600">
        <v>52326120</v>
      </c>
      <c r="G600">
        <v>76</v>
      </c>
      <c r="H600" s="2">
        <f>(Query1[[#This Row],[Close]]-Query1[[#This Row],[IPO ISSUE PRICE]])/Query1[[#This Row],[IPO ISSUE PRICE]]</f>
        <v>0.67565789473684201</v>
      </c>
      <c r="I600" s="3">
        <f>(Query1[[#This Row],[Close]]-E599)/E599</f>
        <v>2.0841683366733421E-2</v>
      </c>
    </row>
    <row r="601" spans="1:9">
      <c r="A601" s="1">
        <v>45282</v>
      </c>
      <c r="B601">
        <v>130.55000000000001</v>
      </c>
      <c r="C601">
        <v>131</v>
      </c>
      <c r="D601">
        <v>125.3</v>
      </c>
      <c r="E601">
        <v>128.5</v>
      </c>
      <c r="F601">
        <v>63113800</v>
      </c>
      <c r="G601">
        <v>76</v>
      </c>
      <c r="H601" s="2">
        <f>(Query1[[#This Row],[Close]]-Query1[[#This Row],[IPO ISSUE PRICE]])/Query1[[#This Row],[IPO ISSUE PRICE]]</f>
        <v>0.69078947368421051</v>
      </c>
      <c r="I601" s="3">
        <f>(Query1[[#This Row],[Close]]-E600)/E600</f>
        <v>9.030231645072679E-3</v>
      </c>
    </row>
    <row r="602" spans="1:9">
      <c r="A602" s="1">
        <v>45286</v>
      </c>
      <c r="B602">
        <v>128.5</v>
      </c>
      <c r="C602">
        <v>128.69999999999999</v>
      </c>
      <c r="D602">
        <v>124.3</v>
      </c>
      <c r="E602">
        <v>125</v>
      </c>
      <c r="F602">
        <v>25499780</v>
      </c>
      <c r="G602">
        <v>76</v>
      </c>
      <c r="H602" s="2">
        <f>(Query1[[#This Row],[Close]]-Query1[[#This Row],[IPO ISSUE PRICE]])/Query1[[#This Row],[IPO ISSUE PRICE]]</f>
        <v>0.64473684210526316</v>
      </c>
      <c r="I602" s="3">
        <f>(Query1[[#This Row],[Close]]-E601)/E601</f>
        <v>-2.7237354085603113E-2</v>
      </c>
    </row>
    <row r="603" spans="1:9">
      <c r="A603" s="1">
        <v>45287</v>
      </c>
      <c r="B603">
        <v>125.7</v>
      </c>
      <c r="C603">
        <v>127.6</v>
      </c>
      <c r="D603">
        <v>125.55</v>
      </c>
      <c r="E603">
        <v>127.05</v>
      </c>
      <c r="F603">
        <v>21757560</v>
      </c>
      <c r="G603">
        <v>76</v>
      </c>
      <c r="H603" s="2">
        <f>(Query1[[#This Row],[Close]]-Query1[[#This Row],[IPO ISSUE PRICE]])/Query1[[#This Row],[IPO ISSUE PRICE]]</f>
        <v>0.67171052631578942</v>
      </c>
      <c r="I603" s="3">
        <f>(Query1[[#This Row],[Close]]-E602)/E602</f>
        <v>1.6399999999999977E-2</v>
      </c>
    </row>
    <row r="604" spans="1:9">
      <c r="A604" s="1">
        <v>45288</v>
      </c>
      <c r="B604">
        <v>124.9</v>
      </c>
      <c r="C604">
        <v>125.5</v>
      </c>
      <c r="D604">
        <v>120.6</v>
      </c>
      <c r="E604">
        <v>123.2</v>
      </c>
      <c r="F604">
        <v>72865470</v>
      </c>
      <c r="G604">
        <v>76</v>
      </c>
      <c r="H604" s="2">
        <f>(Query1[[#This Row],[Close]]-Query1[[#This Row],[IPO ISSUE PRICE]])/Query1[[#This Row],[IPO ISSUE PRICE]]</f>
        <v>0.62105263157894741</v>
      </c>
      <c r="I604" s="3">
        <f>(Query1[[#This Row],[Close]]-E603)/E603</f>
        <v>-3.0303030303030259E-2</v>
      </c>
    </row>
    <row r="605" spans="1:9">
      <c r="A605" s="1">
        <v>45289</v>
      </c>
      <c r="B605">
        <v>124</v>
      </c>
      <c r="C605">
        <v>125.55</v>
      </c>
      <c r="D605">
        <v>123.25</v>
      </c>
      <c r="E605">
        <v>123.7</v>
      </c>
      <c r="F605">
        <v>27512600</v>
      </c>
      <c r="G605">
        <v>76</v>
      </c>
      <c r="H605" s="2">
        <f>(Query1[[#This Row],[Close]]-Query1[[#This Row],[IPO ISSUE PRICE]])/Query1[[#This Row],[IPO ISSUE PRICE]]</f>
        <v>0.62763157894736843</v>
      </c>
      <c r="I605" s="3">
        <f>(Query1[[#This Row],[Close]]-E604)/E604</f>
        <v>4.0584415584415581E-3</v>
      </c>
    </row>
    <row r="606" spans="1:9">
      <c r="A606" s="1">
        <v>45292</v>
      </c>
      <c r="B606">
        <v>124.45</v>
      </c>
      <c r="C606">
        <v>125.6</v>
      </c>
      <c r="D606">
        <v>122.85</v>
      </c>
      <c r="E606">
        <v>124.5</v>
      </c>
      <c r="F606">
        <v>24228680</v>
      </c>
      <c r="G606">
        <v>76</v>
      </c>
      <c r="H606" s="2">
        <f>(Query1[[#This Row],[Close]]-Query1[[#This Row],[IPO ISSUE PRICE]])/Query1[[#This Row],[IPO ISSUE PRICE]]</f>
        <v>0.63815789473684215</v>
      </c>
      <c r="I606" s="3">
        <f>(Query1[[#This Row],[Close]]-E605)/E605</f>
        <v>6.467259498787366E-3</v>
      </c>
    </row>
    <row r="607" spans="1:9">
      <c r="A607" s="1">
        <v>45293</v>
      </c>
      <c r="B607">
        <v>127</v>
      </c>
      <c r="C607">
        <v>129.44999999999999</v>
      </c>
      <c r="D607">
        <v>125.5</v>
      </c>
      <c r="E607">
        <v>128.69999999999999</v>
      </c>
      <c r="F607">
        <v>69395950</v>
      </c>
      <c r="G607">
        <v>76</v>
      </c>
      <c r="H607" s="2">
        <f>(Query1[[#This Row],[Close]]-Query1[[#This Row],[IPO ISSUE PRICE]])/Query1[[#This Row],[IPO ISSUE PRICE]]</f>
        <v>0.69342105263157883</v>
      </c>
      <c r="I607" s="3">
        <f>(Query1[[#This Row],[Close]]-E606)/E606</f>
        <v>3.3734939759036055E-2</v>
      </c>
    </row>
    <row r="608" spans="1:9">
      <c r="A608" s="1">
        <v>45294</v>
      </c>
      <c r="B608">
        <v>128.80000000000001</v>
      </c>
      <c r="C608">
        <v>130.25</v>
      </c>
      <c r="D608">
        <v>127.1</v>
      </c>
      <c r="E608">
        <v>127.55</v>
      </c>
      <c r="F608">
        <v>39101170</v>
      </c>
      <c r="G608">
        <v>76</v>
      </c>
      <c r="H608" s="2">
        <f>(Query1[[#This Row],[Close]]-Query1[[#This Row],[IPO ISSUE PRICE]])/Query1[[#This Row],[IPO ISSUE PRICE]]</f>
        <v>0.67828947368421044</v>
      </c>
      <c r="I608" s="3">
        <f>(Query1[[#This Row],[Close]]-E607)/E607</f>
        <v>-8.93550893550887E-3</v>
      </c>
    </row>
    <row r="609" spans="1:9">
      <c r="A609" s="1">
        <v>45295</v>
      </c>
      <c r="B609">
        <v>128.4</v>
      </c>
      <c r="C609">
        <v>130.9</v>
      </c>
      <c r="D609">
        <v>126.45</v>
      </c>
      <c r="E609">
        <v>129.75</v>
      </c>
      <c r="F609">
        <v>45285620</v>
      </c>
      <c r="G609">
        <v>76</v>
      </c>
      <c r="H609" s="2">
        <f>(Query1[[#This Row],[Close]]-Query1[[#This Row],[IPO ISSUE PRICE]])/Query1[[#This Row],[IPO ISSUE PRICE]]</f>
        <v>0.70723684210526316</v>
      </c>
      <c r="I609" s="3">
        <f>(Query1[[#This Row],[Close]]-E608)/E608</f>
        <v>1.7248137985103905E-2</v>
      </c>
    </row>
    <row r="610" spans="1:9">
      <c r="A610" s="1">
        <v>45296</v>
      </c>
      <c r="B610">
        <v>130.9</v>
      </c>
      <c r="C610">
        <v>134.35</v>
      </c>
      <c r="D610">
        <v>128.94999999999999</v>
      </c>
      <c r="E610">
        <v>133.30000000000001</v>
      </c>
      <c r="F610">
        <v>55608920</v>
      </c>
      <c r="G610">
        <v>76</v>
      </c>
      <c r="H610" s="2">
        <f>(Query1[[#This Row],[Close]]-Query1[[#This Row],[IPO ISSUE PRICE]])/Query1[[#This Row],[IPO ISSUE PRICE]]</f>
        <v>0.75394736842105281</v>
      </c>
      <c r="I610" s="3">
        <f>(Query1[[#This Row],[Close]]-E609)/E609</f>
        <v>2.7360308285163865E-2</v>
      </c>
    </row>
    <row r="611" spans="1:9">
      <c r="A611" s="1">
        <v>45299</v>
      </c>
      <c r="B611">
        <v>133.65</v>
      </c>
      <c r="C611">
        <v>133.65</v>
      </c>
      <c r="D611">
        <v>130</v>
      </c>
      <c r="E611">
        <v>132.85</v>
      </c>
      <c r="F611">
        <v>38912420</v>
      </c>
      <c r="G611">
        <v>76</v>
      </c>
      <c r="H611" s="2">
        <f>(Query1[[#This Row],[Close]]-Query1[[#This Row],[IPO ISSUE PRICE]])/Query1[[#This Row],[IPO ISSUE PRICE]]</f>
        <v>0.74802631578947365</v>
      </c>
      <c r="I611" s="3">
        <f>(Query1[[#This Row],[Close]]-E610)/E610</f>
        <v>-3.3758439609903753E-3</v>
      </c>
    </row>
    <row r="612" spans="1:9">
      <c r="A612" s="1">
        <v>45300</v>
      </c>
      <c r="B612">
        <v>133.19999999999999</v>
      </c>
      <c r="C612">
        <v>135</v>
      </c>
      <c r="D612">
        <v>132.6</v>
      </c>
      <c r="E612">
        <v>134.30000000000001</v>
      </c>
      <c r="F612">
        <v>33803260</v>
      </c>
      <c r="G612">
        <v>76</v>
      </c>
      <c r="H612" s="2">
        <f>(Query1[[#This Row],[Close]]-Query1[[#This Row],[IPO ISSUE PRICE]])/Query1[[#This Row],[IPO ISSUE PRICE]]</f>
        <v>0.76710526315789485</v>
      </c>
      <c r="I612" s="3">
        <f>(Query1[[#This Row],[Close]]-E611)/E611</f>
        <v>1.0914565299209764E-2</v>
      </c>
    </row>
    <row r="613" spans="1:9">
      <c r="A613" s="1">
        <v>45301</v>
      </c>
      <c r="B613">
        <v>134.25</v>
      </c>
      <c r="C613">
        <v>136.15</v>
      </c>
      <c r="D613">
        <v>132.25</v>
      </c>
      <c r="E613">
        <v>134.65</v>
      </c>
      <c r="F613">
        <v>29917880</v>
      </c>
      <c r="G613">
        <v>76</v>
      </c>
      <c r="H613" s="2">
        <f>(Query1[[#This Row],[Close]]-Query1[[#This Row],[IPO ISSUE PRICE]])/Query1[[#This Row],[IPO ISSUE PRICE]]</f>
        <v>0.77171052631578951</v>
      </c>
      <c r="I613" s="3">
        <f>(Query1[[#This Row],[Close]]-E612)/E612</f>
        <v>2.6061057334325708E-3</v>
      </c>
    </row>
    <row r="614" spans="1:9">
      <c r="A614" s="1">
        <v>45302</v>
      </c>
      <c r="B614">
        <v>135.30000000000001</v>
      </c>
      <c r="C614">
        <v>139</v>
      </c>
      <c r="D614">
        <v>135.05000000000001</v>
      </c>
      <c r="E614">
        <v>138.35</v>
      </c>
      <c r="F614">
        <v>41809410</v>
      </c>
      <c r="G614">
        <v>76</v>
      </c>
      <c r="H614" s="2">
        <f>(Query1[[#This Row],[Close]]-Query1[[#This Row],[IPO ISSUE PRICE]])/Query1[[#This Row],[IPO ISSUE PRICE]]</f>
        <v>0.82039473684210518</v>
      </c>
      <c r="I614" s="3">
        <f>(Query1[[#This Row],[Close]]-E613)/E613</f>
        <v>2.7478648347567684E-2</v>
      </c>
    </row>
    <row r="615" spans="1:9">
      <c r="A615" s="1">
        <v>45303</v>
      </c>
      <c r="B615">
        <v>140</v>
      </c>
      <c r="C615">
        <v>141.5</v>
      </c>
      <c r="D615">
        <v>136.80000000000001</v>
      </c>
      <c r="E615">
        <v>139.55000000000001</v>
      </c>
      <c r="F615">
        <v>45508270</v>
      </c>
      <c r="G615">
        <v>76</v>
      </c>
      <c r="H615" s="2">
        <f>(Query1[[#This Row],[Close]]-Query1[[#This Row],[IPO ISSUE PRICE]])/Query1[[#This Row],[IPO ISSUE PRICE]]</f>
        <v>0.83618421052631597</v>
      </c>
      <c r="I615" s="3">
        <f>(Query1[[#This Row],[Close]]-E614)/E614</f>
        <v>8.6736537766535383E-3</v>
      </c>
    </row>
    <row r="616" spans="1:9">
      <c r="A616" s="1">
        <v>45306</v>
      </c>
      <c r="B616">
        <v>139.55000000000001</v>
      </c>
      <c r="C616">
        <v>139.85</v>
      </c>
      <c r="D616">
        <v>132.85</v>
      </c>
      <c r="E616">
        <v>133.4</v>
      </c>
      <c r="F616">
        <v>53570260</v>
      </c>
      <c r="G616">
        <v>76</v>
      </c>
      <c r="H616" s="2">
        <f>(Query1[[#This Row],[Close]]-Query1[[#This Row],[IPO ISSUE PRICE]])/Query1[[#This Row],[IPO ISSUE PRICE]]</f>
        <v>0.75526315789473697</v>
      </c>
      <c r="I616" s="3">
        <f>(Query1[[#This Row],[Close]]-E615)/E615</f>
        <v>-4.4070225725546433E-2</v>
      </c>
    </row>
    <row r="617" spans="1:9">
      <c r="A617" s="1">
        <v>45307</v>
      </c>
      <c r="B617">
        <v>135</v>
      </c>
      <c r="C617">
        <v>135.30000000000001</v>
      </c>
      <c r="D617">
        <v>131</v>
      </c>
      <c r="E617">
        <v>133.55000000000001</v>
      </c>
      <c r="F617">
        <v>47043420</v>
      </c>
      <c r="G617">
        <v>76</v>
      </c>
      <c r="H617" s="2">
        <f>(Query1[[#This Row],[Close]]-Query1[[#This Row],[IPO ISSUE PRICE]])/Query1[[#This Row],[IPO ISSUE PRICE]]</f>
        <v>0.75723684210526332</v>
      </c>
      <c r="I617" s="3">
        <f>(Query1[[#This Row],[Close]]-E616)/E616</f>
        <v>1.1244377811094879E-3</v>
      </c>
    </row>
    <row r="618" spans="1:9">
      <c r="A618" s="1">
        <v>45308</v>
      </c>
      <c r="B618">
        <v>132.4</v>
      </c>
      <c r="C618">
        <v>132.4</v>
      </c>
      <c r="D618">
        <v>126.75</v>
      </c>
      <c r="E618">
        <v>127.4</v>
      </c>
      <c r="F618">
        <v>76780520</v>
      </c>
      <c r="G618">
        <v>76</v>
      </c>
      <c r="H618" s="2">
        <f>(Query1[[#This Row],[Close]]-Query1[[#This Row],[IPO ISSUE PRICE]])/Query1[[#This Row],[IPO ISSUE PRICE]]</f>
        <v>0.67631578947368431</v>
      </c>
      <c r="I618" s="3">
        <f>(Query1[[#This Row],[Close]]-E617)/E617</f>
        <v>-4.6050168476226172E-2</v>
      </c>
    </row>
    <row r="619" spans="1:9">
      <c r="A619" s="1">
        <v>45309</v>
      </c>
      <c r="B619">
        <v>128.05000000000001</v>
      </c>
      <c r="C619">
        <v>129.80000000000001</v>
      </c>
      <c r="D619">
        <v>121.6</v>
      </c>
      <c r="E619">
        <v>129.44999999999999</v>
      </c>
      <c r="F619">
        <v>111946831</v>
      </c>
      <c r="G619">
        <v>76</v>
      </c>
      <c r="H619" s="2">
        <f>(Query1[[#This Row],[Close]]-Query1[[#This Row],[IPO ISSUE PRICE]])/Query1[[#This Row],[IPO ISSUE PRICE]]</f>
        <v>0.70328947368421035</v>
      </c>
      <c r="I619" s="3">
        <f>(Query1[[#This Row],[Close]]-E618)/E618</f>
        <v>1.6091051805337386E-2</v>
      </c>
    </row>
    <row r="620" spans="1:9">
      <c r="A620" s="1">
        <v>45310</v>
      </c>
      <c r="B620">
        <v>130.5</v>
      </c>
      <c r="C620">
        <v>135.5</v>
      </c>
      <c r="D620">
        <v>128</v>
      </c>
      <c r="E620">
        <v>135.05000000000001</v>
      </c>
      <c r="F620">
        <v>81155010</v>
      </c>
      <c r="G620">
        <v>76</v>
      </c>
      <c r="H620" s="2">
        <f>(Query1[[#This Row],[Close]]-Query1[[#This Row],[IPO ISSUE PRICE]])/Query1[[#This Row],[IPO ISSUE PRICE]]</f>
        <v>0.77697368421052648</v>
      </c>
      <c r="I620" s="3">
        <f>(Query1[[#This Row],[Close]]-E619)/E619</f>
        <v>4.3259945925067773E-2</v>
      </c>
    </row>
    <row r="621" spans="1:9">
      <c r="A621" s="1">
        <v>45314</v>
      </c>
      <c r="B621">
        <v>136.30000000000001</v>
      </c>
      <c r="C621">
        <v>137.30000000000001</v>
      </c>
      <c r="D621">
        <v>127</v>
      </c>
      <c r="E621">
        <v>130.1</v>
      </c>
      <c r="F621">
        <v>72520620</v>
      </c>
      <c r="G621">
        <v>76</v>
      </c>
      <c r="H621" s="2">
        <f>(Query1[[#This Row],[Close]]-Query1[[#This Row],[IPO ISSUE PRICE]])/Query1[[#This Row],[IPO ISSUE PRICE]]</f>
        <v>0.71184210526315783</v>
      </c>
      <c r="I621" s="3">
        <f>(Query1[[#This Row],[Close]]-E620)/E620</f>
        <v>-3.665309144761212E-2</v>
      </c>
    </row>
    <row r="622" spans="1:9">
      <c r="A622" s="1">
        <v>45315</v>
      </c>
      <c r="B622">
        <v>131.44999999999999</v>
      </c>
      <c r="C622">
        <v>136.9</v>
      </c>
      <c r="D622">
        <v>129.80000000000001</v>
      </c>
      <c r="E622">
        <v>136.19999999999999</v>
      </c>
      <c r="F622">
        <v>54612760</v>
      </c>
      <c r="G622">
        <v>76</v>
      </c>
      <c r="H622" s="2">
        <f>(Query1[[#This Row],[Close]]-Query1[[#This Row],[IPO ISSUE PRICE]])/Query1[[#This Row],[IPO ISSUE PRICE]]</f>
        <v>0.79210526315789453</v>
      </c>
      <c r="I622" s="3">
        <f>(Query1[[#This Row],[Close]]-E621)/E621</f>
        <v>4.6887009992313565E-2</v>
      </c>
    </row>
    <row r="623" spans="1:9">
      <c r="A623" s="1">
        <v>45316</v>
      </c>
      <c r="B623">
        <v>135.9</v>
      </c>
      <c r="C623">
        <v>138.19999999999999</v>
      </c>
      <c r="D623">
        <v>132.80000000000001</v>
      </c>
      <c r="E623">
        <v>136.15</v>
      </c>
      <c r="F623">
        <v>60682540</v>
      </c>
      <c r="G623">
        <v>76</v>
      </c>
      <c r="H623" s="2">
        <f>(Query1[[#This Row],[Close]]-Query1[[#This Row],[IPO ISSUE PRICE]])/Query1[[#This Row],[IPO ISSUE PRICE]]</f>
        <v>0.79144736842105268</v>
      </c>
      <c r="I623" s="3">
        <f>(Query1[[#This Row],[Close]]-E622)/E622</f>
        <v>-3.6710719530090271E-4</v>
      </c>
    </row>
    <row r="624" spans="1:9">
      <c r="A624" s="1">
        <v>45320</v>
      </c>
      <c r="B624">
        <v>136.9</v>
      </c>
      <c r="C624">
        <v>137.69999999999999</v>
      </c>
      <c r="D624">
        <v>132.35</v>
      </c>
      <c r="E624">
        <v>135.55000000000001</v>
      </c>
      <c r="F624">
        <v>55871010</v>
      </c>
      <c r="G624">
        <v>76</v>
      </c>
      <c r="H624" s="2">
        <f>(Query1[[#This Row],[Close]]-Query1[[#This Row],[IPO ISSUE PRICE]])/Query1[[#This Row],[IPO ISSUE PRICE]]</f>
        <v>0.7835526315789475</v>
      </c>
      <c r="I624" s="3">
        <f>(Query1[[#This Row],[Close]]-E623)/E623</f>
        <v>-4.406904149834699E-3</v>
      </c>
    </row>
    <row r="625" spans="1:9">
      <c r="A625" s="1">
        <v>45321</v>
      </c>
      <c r="B625">
        <v>135.85</v>
      </c>
      <c r="C625">
        <v>138.80000000000001</v>
      </c>
      <c r="D625">
        <v>134.65</v>
      </c>
      <c r="E625">
        <v>137.19999999999999</v>
      </c>
      <c r="F625">
        <v>57612020</v>
      </c>
      <c r="G625">
        <v>76</v>
      </c>
      <c r="H625" s="2">
        <f>(Query1[[#This Row],[Close]]-Query1[[#This Row],[IPO ISSUE PRICE]])/Query1[[#This Row],[IPO ISSUE PRICE]]</f>
        <v>0.80526315789473668</v>
      </c>
      <c r="I625" s="3">
        <f>(Query1[[#This Row],[Close]]-E624)/E624</f>
        <v>1.2172630025820561E-2</v>
      </c>
    </row>
    <row r="626" spans="1:9">
      <c r="A626" s="1">
        <v>45322</v>
      </c>
      <c r="B626">
        <v>140</v>
      </c>
      <c r="C626">
        <v>142</v>
      </c>
      <c r="D626">
        <v>138</v>
      </c>
      <c r="E626">
        <v>139.55000000000001</v>
      </c>
      <c r="F626">
        <v>89833020</v>
      </c>
      <c r="G626">
        <v>76</v>
      </c>
      <c r="H626" s="2">
        <f>(Query1[[#This Row],[Close]]-Query1[[#This Row],[IPO ISSUE PRICE]])/Query1[[#This Row],[IPO ISSUE PRICE]]</f>
        <v>0.83618421052631597</v>
      </c>
      <c r="I626" s="3">
        <f>(Query1[[#This Row],[Close]]-E625)/E625</f>
        <v>1.7128279883382093E-2</v>
      </c>
    </row>
    <row r="627" spans="1:9">
      <c r="A627" s="1">
        <v>45323</v>
      </c>
      <c r="B627">
        <v>141</v>
      </c>
      <c r="C627">
        <v>143.5</v>
      </c>
      <c r="D627">
        <v>138.55000000000001</v>
      </c>
      <c r="E627">
        <v>140.55000000000001</v>
      </c>
      <c r="F627">
        <v>70252440</v>
      </c>
      <c r="G627">
        <v>76</v>
      </c>
      <c r="H627" s="2">
        <f>(Query1[[#This Row],[Close]]-Query1[[#This Row],[IPO ISSUE PRICE]])/Query1[[#This Row],[IPO ISSUE PRICE]]</f>
        <v>0.84934210526315801</v>
      </c>
      <c r="I627" s="3">
        <f>(Query1[[#This Row],[Close]]-E626)/E626</f>
        <v>7.1658903618774623E-3</v>
      </c>
    </row>
    <row r="628" spans="1:9">
      <c r="A628" s="1">
        <v>45324</v>
      </c>
      <c r="B628">
        <v>141.80000000000001</v>
      </c>
      <c r="C628">
        <v>145</v>
      </c>
      <c r="D628">
        <v>141.44999999999999</v>
      </c>
      <c r="E628">
        <v>143.80000000000001</v>
      </c>
      <c r="F628">
        <v>78666450</v>
      </c>
      <c r="G628">
        <v>76</v>
      </c>
      <c r="H628" s="2">
        <f>(Query1[[#This Row],[Close]]-Query1[[#This Row],[IPO ISSUE PRICE]])/Query1[[#This Row],[IPO ISSUE PRICE]]</f>
        <v>0.89210526315789485</v>
      </c>
      <c r="I628" s="3">
        <f>(Query1[[#This Row],[Close]]-E627)/E627</f>
        <v>2.3123443614372109E-2</v>
      </c>
    </row>
    <row r="629" spans="1:9">
      <c r="A629" s="1">
        <v>45327</v>
      </c>
      <c r="B629">
        <v>145</v>
      </c>
      <c r="C629">
        <v>145.4</v>
      </c>
      <c r="D629">
        <v>138.25</v>
      </c>
      <c r="E629">
        <v>140.25</v>
      </c>
      <c r="F629">
        <v>54189680</v>
      </c>
      <c r="G629">
        <v>76</v>
      </c>
      <c r="H629" s="2">
        <f>(Query1[[#This Row],[Close]]-Query1[[#This Row],[IPO ISSUE PRICE]])/Query1[[#This Row],[IPO ISSUE PRICE]]</f>
        <v>0.84539473684210531</v>
      </c>
      <c r="I629" s="3">
        <f>(Query1[[#This Row],[Close]]-E628)/E628</f>
        <v>-2.4687065368567532E-2</v>
      </c>
    </row>
    <row r="630" spans="1:9">
      <c r="A630" s="1">
        <v>45328</v>
      </c>
      <c r="B630">
        <v>140.4</v>
      </c>
      <c r="C630">
        <v>141.80000000000001</v>
      </c>
      <c r="D630">
        <v>138.05000000000001</v>
      </c>
      <c r="E630">
        <v>139.94999999999999</v>
      </c>
      <c r="F630">
        <v>46782950</v>
      </c>
      <c r="G630">
        <v>76</v>
      </c>
      <c r="H630" s="2">
        <f>(Query1[[#This Row],[Close]]-Query1[[#This Row],[IPO ISSUE PRICE]])/Query1[[#This Row],[IPO ISSUE PRICE]]</f>
        <v>0.8414473684210525</v>
      </c>
      <c r="I630" s="3">
        <f>(Query1[[#This Row],[Close]]-E629)/E629</f>
        <v>-2.1390374331551614E-3</v>
      </c>
    </row>
    <row r="631" spans="1:9">
      <c r="A631" s="1">
        <v>45329</v>
      </c>
      <c r="B631">
        <v>141</v>
      </c>
      <c r="C631">
        <v>142.9</v>
      </c>
      <c r="D631">
        <v>139.65</v>
      </c>
      <c r="E631">
        <v>140.4</v>
      </c>
      <c r="F631">
        <v>75083250</v>
      </c>
      <c r="G631">
        <v>76</v>
      </c>
      <c r="H631" s="2">
        <f>(Query1[[#This Row],[Close]]-Query1[[#This Row],[IPO ISSUE PRICE]])/Query1[[#This Row],[IPO ISSUE PRICE]]</f>
        <v>0.84736842105263166</v>
      </c>
      <c r="I631" s="3">
        <f>(Query1[[#This Row],[Close]]-E630)/E630</f>
        <v>3.2154340836014084E-3</v>
      </c>
    </row>
    <row r="632" spans="1:9">
      <c r="A632" s="1">
        <v>45330</v>
      </c>
      <c r="B632">
        <v>142.5</v>
      </c>
      <c r="C632">
        <v>147.5</v>
      </c>
      <c r="D632">
        <v>139</v>
      </c>
      <c r="E632">
        <v>144.1</v>
      </c>
      <c r="F632">
        <v>184839600</v>
      </c>
      <c r="G632">
        <v>76</v>
      </c>
      <c r="H632" s="2">
        <f>(Query1[[#This Row],[Close]]-Query1[[#This Row],[IPO ISSUE PRICE]])/Query1[[#This Row],[IPO ISSUE PRICE]]</f>
        <v>0.89605263157894732</v>
      </c>
      <c r="I632" s="3">
        <f>(Query1[[#This Row],[Close]]-E631)/E631</f>
        <v>2.6353276353276271E-2</v>
      </c>
    </row>
    <row r="633" spans="1:9">
      <c r="A633" s="1">
        <v>45331</v>
      </c>
      <c r="B633">
        <v>146.9</v>
      </c>
      <c r="C633">
        <v>151.4</v>
      </c>
      <c r="D633">
        <v>142.25</v>
      </c>
      <c r="E633">
        <v>149.44999999999999</v>
      </c>
      <c r="F633">
        <v>257918900</v>
      </c>
      <c r="G633">
        <v>76</v>
      </c>
      <c r="H633" s="2">
        <f>(Query1[[#This Row],[Close]]-Query1[[#This Row],[IPO ISSUE PRICE]])/Query1[[#This Row],[IPO ISSUE PRICE]]</f>
        <v>0.9664473684210525</v>
      </c>
      <c r="I633" s="3">
        <f>(Query1[[#This Row],[Close]]-E632)/E632</f>
        <v>3.7126995142262281E-2</v>
      </c>
    </row>
    <row r="634" spans="1:9">
      <c r="A634" s="1">
        <v>45334</v>
      </c>
      <c r="B634">
        <v>151</v>
      </c>
      <c r="C634">
        <v>158.80000000000001</v>
      </c>
      <c r="D634">
        <v>149.5</v>
      </c>
      <c r="E634">
        <v>153.80000000000001</v>
      </c>
      <c r="F634">
        <v>155848100</v>
      </c>
      <c r="G634">
        <v>76</v>
      </c>
      <c r="H634" s="2">
        <f>(Query1[[#This Row],[Close]]-Query1[[#This Row],[IPO ISSUE PRICE]])/Query1[[#This Row],[IPO ISSUE PRICE]]</f>
        <v>1.023684210526316</v>
      </c>
      <c r="I634" s="3">
        <f>(Query1[[#This Row],[Close]]-E633)/E633</f>
        <v>2.9106724657076099E-2</v>
      </c>
    </row>
    <row r="635" spans="1:9">
      <c r="A635" s="1">
        <v>45335</v>
      </c>
      <c r="B635">
        <v>154.35</v>
      </c>
      <c r="C635">
        <v>157.9</v>
      </c>
      <c r="D635">
        <v>149</v>
      </c>
      <c r="E635">
        <v>154.75</v>
      </c>
      <c r="F635">
        <v>79935680</v>
      </c>
      <c r="G635">
        <v>76</v>
      </c>
      <c r="H635" s="2">
        <f>(Query1[[#This Row],[Close]]-Query1[[#This Row],[IPO ISSUE PRICE]])/Query1[[#This Row],[IPO ISSUE PRICE]]</f>
        <v>1.0361842105263157</v>
      </c>
      <c r="I635" s="3">
        <f>(Query1[[#This Row],[Close]]-E634)/E634</f>
        <v>6.1768530559167005E-3</v>
      </c>
    </row>
    <row r="636" spans="1:9">
      <c r="A636" s="1">
        <v>45336</v>
      </c>
      <c r="B636">
        <v>152.94999999999999</v>
      </c>
      <c r="C636">
        <v>153.75</v>
      </c>
      <c r="D636">
        <v>150.1</v>
      </c>
      <c r="E636">
        <v>152.25</v>
      </c>
      <c r="F636">
        <v>38221080</v>
      </c>
      <c r="G636">
        <v>76</v>
      </c>
      <c r="H636" s="2">
        <f>(Query1[[#This Row],[Close]]-Query1[[#This Row],[IPO ISSUE PRICE]])/Query1[[#This Row],[IPO ISSUE PRICE]]</f>
        <v>1.0032894736842106</v>
      </c>
      <c r="I636" s="3">
        <f>(Query1[[#This Row],[Close]]-E635)/E635</f>
        <v>-1.6155088852988692E-2</v>
      </c>
    </row>
    <row r="637" spans="1:9">
      <c r="A637" s="1">
        <v>45337</v>
      </c>
      <c r="B637">
        <v>157</v>
      </c>
      <c r="C637">
        <v>159.19999999999999</v>
      </c>
      <c r="D637">
        <v>154</v>
      </c>
      <c r="E637">
        <v>154.85</v>
      </c>
      <c r="F637">
        <v>77367580</v>
      </c>
      <c r="G637">
        <v>76</v>
      </c>
      <c r="H637" s="2">
        <f>(Query1[[#This Row],[Close]]-Query1[[#This Row],[IPO ISSUE PRICE]])/Query1[[#This Row],[IPO ISSUE PRICE]]</f>
        <v>1.0374999999999999</v>
      </c>
      <c r="I637" s="3">
        <f>(Query1[[#This Row],[Close]]-E636)/E636</f>
        <v>1.7077175697865314E-2</v>
      </c>
    </row>
    <row r="638" spans="1:9">
      <c r="A638" s="1">
        <v>45338</v>
      </c>
      <c r="B638">
        <v>156.9</v>
      </c>
      <c r="C638">
        <v>160</v>
      </c>
      <c r="D638">
        <v>155.35</v>
      </c>
      <c r="E638">
        <v>156.69999999999999</v>
      </c>
      <c r="F638">
        <v>61209330</v>
      </c>
      <c r="G638">
        <v>76</v>
      </c>
      <c r="H638" s="2">
        <f>(Query1[[#This Row],[Close]]-Query1[[#This Row],[IPO ISSUE PRICE]])/Query1[[#This Row],[IPO ISSUE PRICE]]</f>
        <v>1.0618421052631577</v>
      </c>
      <c r="I638" s="3">
        <f>(Query1[[#This Row],[Close]]-E637)/E637</f>
        <v>1.1947045527930219E-2</v>
      </c>
    </row>
    <row r="639" spans="1:9">
      <c r="A639" s="1">
        <v>45341</v>
      </c>
      <c r="B639">
        <v>157.44999999999999</v>
      </c>
      <c r="C639">
        <v>160.44999999999999</v>
      </c>
      <c r="D639">
        <v>155.6</v>
      </c>
      <c r="E639">
        <v>157.5</v>
      </c>
      <c r="F639">
        <v>60218200</v>
      </c>
      <c r="G639">
        <v>76</v>
      </c>
      <c r="H639" s="2">
        <f>(Query1[[#This Row],[Close]]-Query1[[#This Row],[IPO ISSUE PRICE]])/Query1[[#This Row],[IPO ISSUE PRICE]]</f>
        <v>1.0723684210526316</v>
      </c>
      <c r="I639" s="3">
        <f>(Query1[[#This Row],[Close]]-E638)/E638</f>
        <v>5.105296745373398E-3</v>
      </c>
    </row>
    <row r="640" spans="1:9">
      <c r="A640" s="1">
        <v>45342</v>
      </c>
      <c r="B640">
        <v>159.69999999999999</v>
      </c>
      <c r="C640">
        <v>163.80000000000001</v>
      </c>
      <c r="D640">
        <v>158.69999999999999</v>
      </c>
      <c r="E640">
        <v>161.05000000000001</v>
      </c>
      <c r="F640">
        <v>85356670</v>
      </c>
      <c r="G640">
        <v>76</v>
      </c>
      <c r="H640" s="2">
        <f>(Query1[[#This Row],[Close]]-Query1[[#This Row],[IPO ISSUE PRICE]])/Query1[[#This Row],[IPO ISSUE PRICE]]</f>
        <v>1.1190789473684213</v>
      </c>
      <c r="I640" s="3">
        <f>(Query1[[#This Row],[Close]]-E639)/E639</f>
        <v>2.2539682539682613E-2</v>
      </c>
    </row>
    <row r="641" spans="1:9">
      <c r="A641" s="1">
        <v>45343</v>
      </c>
      <c r="B641">
        <v>162.30000000000001</v>
      </c>
      <c r="C641">
        <v>167.8</v>
      </c>
      <c r="D641">
        <v>157.6</v>
      </c>
      <c r="E641">
        <v>158.65</v>
      </c>
      <c r="F641">
        <v>91140940</v>
      </c>
      <c r="G641">
        <v>76</v>
      </c>
      <c r="H641" s="2">
        <f>(Query1[[#This Row],[Close]]-Query1[[#This Row],[IPO ISSUE PRICE]])/Query1[[#This Row],[IPO ISSUE PRICE]]</f>
        <v>1.0875000000000001</v>
      </c>
      <c r="I641" s="3">
        <f>(Query1[[#This Row],[Close]]-E640)/E640</f>
        <v>-1.4902204284383765E-2</v>
      </c>
    </row>
    <row r="642" spans="1:9">
      <c r="A642" s="1">
        <v>45344</v>
      </c>
      <c r="B642">
        <v>159.55000000000001</v>
      </c>
      <c r="C642">
        <v>163</v>
      </c>
      <c r="D642">
        <v>156.6</v>
      </c>
      <c r="E642">
        <v>162.1</v>
      </c>
      <c r="F642">
        <v>67614840</v>
      </c>
      <c r="G642">
        <v>76</v>
      </c>
      <c r="H642" s="2">
        <f>(Query1[[#This Row],[Close]]-Query1[[#This Row],[IPO ISSUE PRICE]])/Query1[[#This Row],[IPO ISSUE PRICE]]</f>
        <v>1.1328947368421052</v>
      </c>
      <c r="I642" s="3">
        <f>(Query1[[#This Row],[Close]]-E641)/E641</f>
        <v>2.1745981720768914E-2</v>
      </c>
    </row>
    <row r="643" spans="1:9">
      <c r="A643" s="1">
        <v>45345</v>
      </c>
      <c r="B643">
        <v>162.4</v>
      </c>
      <c r="C643">
        <v>164.8</v>
      </c>
      <c r="D643">
        <v>160.80000000000001</v>
      </c>
      <c r="E643">
        <v>164.05</v>
      </c>
      <c r="F643">
        <v>37200710</v>
      </c>
      <c r="G643">
        <v>76</v>
      </c>
      <c r="H643" s="2">
        <f>(Query1[[#This Row],[Close]]-Query1[[#This Row],[IPO ISSUE PRICE]])/Query1[[#This Row],[IPO ISSUE PRICE]]</f>
        <v>1.1585526315789476</v>
      </c>
      <c r="I643" s="3">
        <f>(Query1[[#This Row],[Close]]-E642)/E642</f>
        <v>1.2029611351017995E-2</v>
      </c>
    </row>
    <row r="644" spans="1:9">
      <c r="A644" s="1">
        <v>45348</v>
      </c>
      <c r="B644">
        <v>165.2</v>
      </c>
      <c r="C644">
        <v>168.5</v>
      </c>
      <c r="D644">
        <v>163.15</v>
      </c>
      <c r="E644">
        <v>164.2</v>
      </c>
      <c r="F644">
        <v>33433560</v>
      </c>
      <c r="G644">
        <v>76</v>
      </c>
      <c r="H644" s="2">
        <f>(Query1[[#This Row],[Close]]-Query1[[#This Row],[IPO ISSUE PRICE]])/Query1[[#This Row],[IPO ISSUE PRICE]]</f>
        <v>1.1605263157894736</v>
      </c>
      <c r="I644" s="3">
        <f>(Query1[[#This Row],[Close]]-E643)/E643</f>
        <v>9.1435537945734385E-4</v>
      </c>
    </row>
    <row r="645" spans="1:9">
      <c r="A645" s="1">
        <v>45349</v>
      </c>
      <c r="B645">
        <v>163.75</v>
      </c>
      <c r="C645">
        <v>163.85</v>
      </c>
      <c r="D645">
        <v>158</v>
      </c>
      <c r="E645">
        <v>161.30000000000001</v>
      </c>
      <c r="F645">
        <v>29921490</v>
      </c>
      <c r="G645">
        <v>76</v>
      </c>
      <c r="H645" s="2">
        <f>(Query1[[#This Row],[Close]]-Query1[[#This Row],[IPO ISSUE PRICE]])/Query1[[#This Row],[IPO ISSUE PRICE]]</f>
        <v>1.1223684210526317</v>
      </c>
      <c r="I645" s="3">
        <f>(Query1[[#This Row],[Close]]-E644)/E644</f>
        <v>-1.7661388550547975E-2</v>
      </c>
    </row>
    <row r="646" spans="1:9">
      <c r="A646" s="1">
        <v>45350</v>
      </c>
      <c r="B646">
        <v>161.9</v>
      </c>
      <c r="C646">
        <v>161.94999999999999</v>
      </c>
      <c r="D646">
        <v>155.35</v>
      </c>
      <c r="E646">
        <v>159.35</v>
      </c>
      <c r="F646">
        <v>41883110</v>
      </c>
      <c r="G646">
        <v>76</v>
      </c>
      <c r="H646" s="2">
        <f>(Query1[[#This Row],[Close]]-Query1[[#This Row],[IPO ISSUE PRICE]])/Query1[[#This Row],[IPO ISSUE PRICE]]</f>
        <v>1.0967105263157895</v>
      </c>
      <c r="I646" s="3">
        <f>(Query1[[#This Row],[Close]]-E645)/E645</f>
        <v>-1.2089274643521494E-2</v>
      </c>
    </row>
    <row r="647" spans="1:9">
      <c r="A647" s="1">
        <v>45351</v>
      </c>
      <c r="B647">
        <v>156.44999999999999</v>
      </c>
      <c r="C647">
        <v>168.85</v>
      </c>
      <c r="D647">
        <v>155.44999999999999</v>
      </c>
      <c r="E647">
        <v>165.45</v>
      </c>
      <c r="F647">
        <v>175785400</v>
      </c>
      <c r="G647">
        <v>76</v>
      </c>
      <c r="H647" s="2">
        <f>(Query1[[#This Row],[Close]]-Query1[[#This Row],[IPO ISSUE PRICE]])/Query1[[#This Row],[IPO ISSUE PRICE]]</f>
        <v>1.1769736842105261</v>
      </c>
      <c r="I647" s="3">
        <f>(Query1[[#This Row],[Close]]-E646)/E646</f>
        <v>3.8280514590523972E-2</v>
      </c>
    </row>
    <row r="648" spans="1:9">
      <c r="A648" s="1">
        <v>45352</v>
      </c>
      <c r="B648">
        <v>168</v>
      </c>
      <c r="C648">
        <v>173.5</v>
      </c>
      <c r="D648">
        <v>165.6</v>
      </c>
      <c r="E648">
        <v>166.5</v>
      </c>
      <c r="F648">
        <v>42587330</v>
      </c>
      <c r="G648">
        <v>76</v>
      </c>
      <c r="H648" s="2">
        <f>(Query1[[#This Row],[Close]]-Query1[[#This Row],[IPO ISSUE PRICE]])/Query1[[#This Row],[IPO ISSUE PRICE]]</f>
        <v>1.1907894736842106</v>
      </c>
      <c r="I648" s="3">
        <f>(Query1[[#This Row],[Close]]-E647)/E647</f>
        <v>6.3463281958296251E-3</v>
      </c>
    </row>
    <row r="649" spans="1:9">
      <c r="A649" s="1">
        <v>45355</v>
      </c>
      <c r="B649">
        <v>168</v>
      </c>
      <c r="C649">
        <v>175.6</v>
      </c>
      <c r="D649">
        <v>168</v>
      </c>
      <c r="E649">
        <v>169.8</v>
      </c>
      <c r="F649">
        <v>55751420</v>
      </c>
      <c r="G649">
        <v>76</v>
      </c>
      <c r="H649" s="2">
        <f>(Query1[[#This Row],[Close]]-Query1[[#This Row],[IPO ISSUE PRICE]])/Query1[[#This Row],[IPO ISSUE PRICE]]</f>
        <v>1.2342105263157896</v>
      </c>
      <c r="I649" s="3">
        <f>(Query1[[#This Row],[Close]]-E648)/E648</f>
        <v>1.9819819819819888E-2</v>
      </c>
    </row>
    <row r="650" spans="1:9">
      <c r="A650" s="1">
        <v>45356</v>
      </c>
      <c r="B650">
        <v>170.75</v>
      </c>
      <c r="C650">
        <v>171.5</v>
      </c>
      <c r="D650">
        <v>164.05</v>
      </c>
      <c r="E650">
        <v>165.85</v>
      </c>
      <c r="F650">
        <v>29313860</v>
      </c>
      <c r="G650">
        <v>76</v>
      </c>
      <c r="H650" s="2">
        <f>(Query1[[#This Row],[Close]]-Query1[[#This Row],[IPO ISSUE PRICE]])/Query1[[#This Row],[IPO ISSUE PRICE]]</f>
        <v>1.1822368421052631</v>
      </c>
      <c r="I650" s="3">
        <f>(Query1[[#This Row],[Close]]-E649)/E649</f>
        <v>-2.326266195524156E-2</v>
      </c>
    </row>
    <row r="651" spans="1:9">
      <c r="A651" s="1">
        <v>45357</v>
      </c>
      <c r="B651">
        <v>164.4</v>
      </c>
      <c r="C651">
        <v>164.4</v>
      </c>
      <c r="D651">
        <v>157.5</v>
      </c>
      <c r="E651">
        <v>161.55000000000001</v>
      </c>
      <c r="F651">
        <v>95621540</v>
      </c>
      <c r="G651">
        <v>76</v>
      </c>
      <c r="H651" s="2">
        <f>(Query1[[#This Row],[Close]]-Query1[[#This Row],[IPO ISSUE PRICE]])/Query1[[#This Row],[IPO ISSUE PRICE]]</f>
        <v>1.1256578947368423</v>
      </c>
      <c r="I651" s="3">
        <f>(Query1[[#This Row],[Close]]-E650)/E650</f>
        <v>-2.5927042508290522E-2</v>
      </c>
    </row>
    <row r="652" spans="1:9">
      <c r="A652" s="1">
        <v>45358</v>
      </c>
      <c r="B652">
        <v>161.75</v>
      </c>
      <c r="C652">
        <v>163.44999999999999</v>
      </c>
      <c r="D652">
        <v>158.65</v>
      </c>
      <c r="E652">
        <v>160</v>
      </c>
      <c r="F652">
        <v>43685230</v>
      </c>
      <c r="G652">
        <v>76</v>
      </c>
      <c r="H652" s="2">
        <f>(Query1[[#This Row],[Close]]-Query1[[#This Row],[IPO ISSUE PRICE]])/Query1[[#This Row],[IPO ISSUE PRICE]]</f>
        <v>1.1052631578947369</v>
      </c>
      <c r="I652" s="3">
        <f>(Query1[[#This Row],[Close]]-E651)/E651</f>
        <v>-9.5945527700403051E-3</v>
      </c>
    </row>
    <row r="653" spans="1:9">
      <c r="A653" s="1">
        <v>45362</v>
      </c>
      <c r="B653">
        <v>161</v>
      </c>
      <c r="C653">
        <v>163.19999999999999</v>
      </c>
      <c r="D653">
        <v>149</v>
      </c>
      <c r="E653">
        <v>154.85</v>
      </c>
      <c r="F653">
        <v>51519590</v>
      </c>
      <c r="G653">
        <v>76</v>
      </c>
      <c r="H653" s="2">
        <f>(Query1[[#This Row],[Close]]-Query1[[#This Row],[IPO ISSUE PRICE]])/Query1[[#This Row],[IPO ISSUE PRICE]]</f>
        <v>1.0374999999999999</v>
      </c>
      <c r="I653" s="3">
        <f>(Query1[[#This Row],[Close]]-E652)/E652</f>
        <v>-3.2187500000000036E-2</v>
      </c>
    </row>
    <row r="654" spans="1:9">
      <c r="A654" s="1">
        <v>45363</v>
      </c>
      <c r="B654">
        <v>156.6</v>
      </c>
      <c r="C654">
        <v>157.9</v>
      </c>
      <c r="D654">
        <v>152.15</v>
      </c>
      <c r="E654">
        <v>156.9</v>
      </c>
      <c r="F654">
        <v>31159760</v>
      </c>
      <c r="G654">
        <v>76</v>
      </c>
      <c r="H654" s="2">
        <f>(Query1[[#This Row],[Close]]-Query1[[#This Row],[IPO ISSUE PRICE]])/Query1[[#This Row],[IPO ISSUE PRICE]]</f>
        <v>1.0644736842105265</v>
      </c>
      <c r="I654" s="3">
        <f>(Query1[[#This Row],[Close]]-E653)/E653</f>
        <v>1.3238618017436303E-2</v>
      </c>
    </row>
    <row r="655" spans="1:9">
      <c r="A655" s="1">
        <v>45364</v>
      </c>
      <c r="B655">
        <v>157.44999999999999</v>
      </c>
      <c r="C655">
        <v>158.25</v>
      </c>
      <c r="D655">
        <v>147.5</v>
      </c>
      <c r="E655">
        <v>148.65</v>
      </c>
      <c r="F655">
        <v>53202090</v>
      </c>
      <c r="G655">
        <v>76</v>
      </c>
      <c r="H655" s="2">
        <f>(Query1[[#This Row],[Close]]-Query1[[#This Row],[IPO ISSUE PRICE]])/Query1[[#This Row],[IPO ISSUE PRICE]]</f>
        <v>0.955921052631579</v>
      </c>
      <c r="I655" s="3">
        <f>(Query1[[#This Row],[Close]]-E654)/E654</f>
        <v>-5.2581261950286805E-2</v>
      </c>
    </row>
    <row r="656" spans="1:9">
      <c r="A656" s="1">
        <v>45365</v>
      </c>
      <c r="B656">
        <v>147.1</v>
      </c>
      <c r="C656">
        <v>157.30000000000001</v>
      </c>
      <c r="D656">
        <v>144.30000000000001</v>
      </c>
      <c r="E656">
        <v>152.75</v>
      </c>
      <c r="F656">
        <v>45708360</v>
      </c>
      <c r="G656">
        <v>76</v>
      </c>
      <c r="H656" s="2">
        <f>(Query1[[#This Row],[Close]]-Query1[[#This Row],[IPO ISSUE PRICE]])/Query1[[#This Row],[IPO ISSUE PRICE]]</f>
        <v>1.0098684210526316</v>
      </c>
      <c r="I656" s="3">
        <f>(Query1[[#This Row],[Close]]-E655)/E655</f>
        <v>2.7581567440295957E-2</v>
      </c>
    </row>
    <row r="657" spans="1:9">
      <c r="A657" s="1">
        <v>45366</v>
      </c>
      <c r="B657">
        <v>152.85</v>
      </c>
      <c r="C657">
        <v>161.69999999999999</v>
      </c>
      <c r="D657">
        <v>152.44999999999999</v>
      </c>
      <c r="E657">
        <v>160.05000000000001</v>
      </c>
      <c r="F657">
        <v>95085420</v>
      </c>
      <c r="G657">
        <v>76</v>
      </c>
      <c r="H657" s="2">
        <f>(Query1[[#This Row],[Close]]-Query1[[#This Row],[IPO ISSUE PRICE]])/Query1[[#This Row],[IPO ISSUE PRICE]]</f>
        <v>1.105921052631579</v>
      </c>
      <c r="I657" s="3">
        <f>(Query1[[#This Row],[Close]]-E656)/E656</f>
        <v>4.7790507364975525E-2</v>
      </c>
    </row>
    <row r="658" spans="1:9">
      <c r="A658" s="1">
        <v>45369</v>
      </c>
      <c r="B658">
        <v>162.5</v>
      </c>
      <c r="C658">
        <v>164.45</v>
      </c>
      <c r="D658">
        <v>157.25</v>
      </c>
      <c r="E658">
        <v>158.25</v>
      </c>
      <c r="F658">
        <v>35382750</v>
      </c>
      <c r="G658">
        <v>76</v>
      </c>
      <c r="H658" s="2">
        <f>(Query1[[#This Row],[Close]]-Query1[[#This Row],[IPO ISSUE PRICE]])/Query1[[#This Row],[IPO ISSUE PRICE]]</f>
        <v>1.0822368421052631</v>
      </c>
      <c r="I658" s="3">
        <f>(Query1[[#This Row],[Close]]-E657)/E657</f>
        <v>-1.1246485473289667E-2</v>
      </c>
    </row>
    <row r="659" spans="1:9">
      <c r="A659" s="1">
        <v>45370</v>
      </c>
      <c r="B659">
        <v>158.6</v>
      </c>
      <c r="C659">
        <v>161.44999999999999</v>
      </c>
      <c r="D659">
        <v>156.5</v>
      </c>
      <c r="E659">
        <v>157.94999999999999</v>
      </c>
      <c r="F659">
        <v>24847680</v>
      </c>
      <c r="G659">
        <v>76</v>
      </c>
      <c r="H659" s="2">
        <f>(Query1[[#This Row],[Close]]-Query1[[#This Row],[IPO ISSUE PRICE]])/Query1[[#This Row],[IPO ISSUE PRICE]]</f>
        <v>1.0782894736842104</v>
      </c>
      <c r="I659" s="3">
        <f>(Query1[[#This Row],[Close]]-E658)/E658</f>
        <v>-1.8957345971564699E-3</v>
      </c>
    </row>
    <row r="660" spans="1:9">
      <c r="A660" s="1">
        <v>45371</v>
      </c>
      <c r="B660">
        <v>159.44999999999999</v>
      </c>
      <c r="C660">
        <v>166.7</v>
      </c>
      <c r="D660">
        <v>159</v>
      </c>
      <c r="E660">
        <v>165.6</v>
      </c>
      <c r="F660">
        <v>45544050</v>
      </c>
      <c r="G660">
        <v>76</v>
      </c>
      <c r="H660" s="2">
        <f>(Query1[[#This Row],[Close]]-Query1[[#This Row],[IPO ISSUE PRICE]])/Query1[[#This Row],[IPO ISSUE PRICE]]</f>
        <v>1.1789473684210525</v>
      </c>
      <c r="I660" s="3">
        <f>(Query1[[#This Row],[Close]]-E659)/E659</f>
        <v>4.8433048433048471E-2</v>
      </c>
    </row>
    <row r="661" spans="1:9">
      <c r="A661" s="1">
        <v>45372</v>
      </c>
      <c r="B661">
        <v>168</v>
      </c>
      <c r="C661">
        <v>171</v>
      </c>
      <c r="D661">
        <v>166.4</v>
      </c>
      <c r="E661">
        <v>169.65</v>
      </c>
      <c r="F661">
        <v>42227960</v>
      </c>
      <c r="G661">
        <v>76</v>
      </c>
      <c r="H661" s="2">
        <f>(Query1[[#This Row],[Close]]-Query1[[#This Row],[IPO ISSUE PRICE]])/Query1[[#This Row],[IPO ISSUE PRICE]]</f>
        <v>1.2322368421052632</v>
      </c>
      <c r="I661" s="3">
        <f>(Query1[[#This Row],[Close]]-E660)/E660</f>
        <v>2.4456521739130505E-2</v>
      </c>
    </row>
    <row r="662" spans="1:9">
      <c r="A662" s="1">
        <v>45373</v>
      </c>
      <c r="B662">
        <v>170.45</v>
      </c>
      <c r="C662">
        <v>174.9</v>
      </c>
      <c r="D662">
        <v>169.05</v>
      </c>
      <c r="E662">
        <v>174.2</v>
      </c>
      <c r="F662">
        <v>41776490</v>
      </c>
      <c r="G662">
        <v>76</v>
      </c>
      <c r="H662" s="2">
        <f>(Query1[[#This Row],[Close]]-Query1[[#This Row],[IPO ISSUE PRICE]])/Query1[[#This Row],[IPO ISSUE PRICE]]</f>
        <v>1.2921052631578946</v>
      </c>
      <c r="I662" s="3">
        <f>(Query1[[#This Row],[Close]]-E661)/E661</f>
        <v>2.681992337164741E-2</v>
      </c>
    </row>
    <row r="663" spans="1:9">
      <c r="A663" s="1">
        <v>45377</v>
      </c>
      <c r="B663">
        <v>173.4</v>
      </c>
      <c r="C663">
        <v>183.65</v>
      </c>
      <c r="D663">
        <v>172.2</v>
      </c>
      <c r="E663">
        <v>182.6</v>
      </c>
      <c r="F663">
        <v>64590290</v>
      </c>
      <c r="G663">
        <v>76</v>
      </c>
      <c r="H663" s="2">
        <f>(Query1[[#This Row],[Close]]-Query1[[#This Row],[IPO ISSUE PRICE]])/Query1[[#This Row],[IPO ISSUE PRICE]]</f>
        <v>1.4026315789473685</v>
      </c>
      <c r="I663" s="3">
        <f>(Query1[[#This Row],[Close]]-E662)/E662</f>
        <v>4.8220436280137807E-2</v>
      </c>
    </row>
    <row r="664" spans="1:9">
      <c r="A664" s="1">
        <v>45378</v>
      </c>
      <c r="B664">
        <v>183.6</v>
      </c>
      <c r="C664">
        <v>189</v>
      </c>
      <c r="D664">
        <v>177.2</v>
      </c>
      <c r="E664">
        <v>179.45</v>
      </c>
      <c r="F664">
        <v>50528760</v>
      </c>
      <c r="G664">
        <v>76</v>
      </c>
      <c r="H664" s="2">
        <f>(Query1[[#This Row],[Close]]-Query1[[#This Row],[IPO ISSUE PRICE]])/Query1[[#This Row],[IPO ISSUE PRICE]]</f>
        <v>1.3611842105263157</v>
      </c>
      <c r="I664" s="3">
        <f>(Query1[[#This Row],[Close]]-E663)/E663</f>
        <v>-1.725082146768897E-2</v>
      </c>
    </row>
    <row r="665" spans="1:9">
      <c r="A665" s="1">
        <v>45379</v>
      </c>
      <c r="B665">
        <v>179.8</v>
      </c>
      <c r="C665">
        <v>184.7</v>
      </c>
      <c r="D665">
        <v>176</v>
      </c>
      <c r="E665">
        <v>182.1</v>
      </c>
      <c r="F665">
        <v>42567440</v>
      </c>
      <c r="G665">
        <v>76</v>
      </c>
      <c r="H665" s="2">
        <f>(Query1[[#This Row],[Close]]-Query1[[#This Row],[IPO ISSUE PRICE]])/Query1[[#This Row],[IPO ISSUE PRICE]]</f>
        <v>1.3960526315789472</v>
      </c>
      <c r="I665" s="3">
        <f>(Query1[[#This Row],[Close]]-E664)/E664</f>
        <v>1.4767344664251914E-2</v>
      </c>
    </row>
    <row r="666" spans="1:9">
      <c r="A666" s="1">
        <v>45383</v>
      </c>
      <c r="B666">
        <v>183.9</v>
      </c>
      <c r="C666">
        <v>188.2</v>
      </c>
      <c r="D666">
        <v>182.75</v>
      </c>
      <c r="E666">
        <v>184.5</v>
      </c>
      <c r="F666">
        <v>20789200</v>
      </c>
      <c r="G666">
        <v>76</v>
      </c>
      <c r="H666" s="2">
        <f>(Query1[[#This Row],[Close]]-Query1[[#This Row],[IPO ISSUE PRICE]])/Query1[[#This Row],[IPO ISSUE PRICE]]</f>
        <v>1.4276315789473684</v>
      </c>
      <c r="I666" s="3">
        <f>(Query1[[#This Row],[Close]]-E665)/E665</f>
        <v>1.3179571663920954E-2</v>
      </c>
    </row>
    <row r="667" spans="1:9">
      <c r="A667" s="1">
        <v>45384</v>
      </c>
      <c r="B667">
        <v>185</v>
      </c>
      <c r="C667">
        <v>185</v>
      </c>
      <c r="D667">
        <v>180.75</v>
      </c>
      <c r="E667">
        <v>183.1</v>
      </c>
      <c r="F667">
        <v>36346390</v>
      </c>
      <c r="G667">
        <v>76</v>
      </c>
      <c r="H667" s="2">
        <f>(Query1[[#This Row],[Close]]-Query1[[#This Row],[IPO ISSUE PRICE]])/Query1[[#This Row],[IPO ISSUE PRICE]]</f>
        <v>1.4092105263157895</v>
      </c>
      <c r="I667" s="3">
        <f>(Query1[[#This Row],[Close]]-E666)/E666</f>
        <v>-7.5880758807588388E-3</v>
      </c>
    </row>
    <row r="668" spans="1:9">
      <c r="A668" s="1">
        <v>45385</v>
      </c>
      <c r="B668">
        <v>181.95</v>
      </c>
      <c r="C668">
        <v>182</v>
      </c>
      <c r="D668">
        <v>177.85</v>
      </c>
      <c r="E668">
        <v>178.3</v>
      </c>
      <c r="F668">
        <v>24268720</v>
      </c>
      <c r="G668">
        <v>76</v>
      </c>
      <c r="H668" s="2">
        <f>(Query1[[#This Row],[Close]]-Query1[[#This Row],[IPO ISSUE PRICE]])/Query1[[#This Row],[IPO ISSUE PRICE]]</f>
        <v>1.3460526315789476</v>
      </c>
      <c r="I668" s="3">
        <f>(Query1[[#This Row],[Close]]-E667)/E667</f>
        <v>-2.6215182960130985E-2</v>
      </c>
    </row>
    <row r="669" spans="1:9">
      <c r="A669" s="1">
        <v>45386</v>
      </c>
      <c r="B669">
        <v>180.5</v>
      </c>
      <c r="C669">
        <v>188.15</v>
      </c>
      <c r="D669">
        <v>180.25</v>
      </c>
      <c r="E669">
        <v>187</v>
      </c>
      <c r="F669">
        <v>52772050</v>
      </c>
      <c r="G669">
        <v>76</v>
      </c>
      <c r="H669" s="2">
        <f>(Query1[[#This Row],[Close]]-Query1[[#This Row],[IPO ISSUE PRICE]])/Query1[[#This Row],[IPO ISSUE PRICE]]</f>
        <v>1.4605263157894737</v>
      </c>
      <c r="I669" s="3">
        <f>(Query1[[#This Row],[Close]]-E668)/E668</f>
        <v>4.8794167134043678E-2</v>
      </c>
    </row>
    <row r="670" spans="1:9">
      <c r="A670" s="1">
        <v>45387</v>
      </c>
      <c r="B670">
        <v>188.25</v>
      </c>
      <c r="C670">
        <v>191.8</v>
      </c>
      <c r="D670">
        <v>187.25</v>
      </c>
      <c r="E670">
        <v>190.5</v>
      </c>
      <c r="F670">
        <v>35235130</v>
      </c>
      <c r="G670">
        <v>76</v>
      </c>
      <c r="H670" s="2">
        <f>(Query1[[#This Row],[Close]]-Query1[[#This Row],[IPO ISSUE PRICE]])/Query1[[#This Row],[IPO ISSUE PRICE]]</f>
        <v>1.506578947368421</v>
      </c>
      <c r="I670" s="3">
        <f>(Query1[[#This Row],[Close]]-E669)/E669</f>
        <v>1.871657754010695E-2</v>
      </c>
    </row>
    <row r="671" spans="1:9">
      <c r="A671" s="1">
        <v>45390</v>
      </c>
      <c r="B671">
        <v>191.6</v>
      </c>
      <c r="C671">
        <v>194</v>
      </c>
      <c r="D671">
        <v>190.55</v>
      </c>
      <c r="E671">
        <v>191.8</v>
      </c>
      <c r="F671">
        <v>23092880</v>
      </c>
      <c r="G671">
        <v>76</v>
      </c>
      <c r="H671" s="2">
        <f>(Query1[[#This Row],[Close]]-Query1[[#This Row],[IPO ISSUE PRICE]])/Query1[[#This Row],[IPO ISSUE PRICE]]</f>
        <v>1.523684210526316</v>
      </c>
      <c r="I671" s="3">
        <f>(Query1[[#This Row],[Close]]-E670)/E670</f>
        <v>6.8241469816273563E-3</v>
      </c>
    </row>
    <row r="672" spans="1:9">
      <c r="A672" s="1">
        <v>45391</v>
      </c>
      <c r="B672">
        <v>192.55</v>
      </c>
      <c r="C672">
        <v>195.5</v>
      </c>
      <c r="D672">
        <v>188.75</v>
      </c>
      <c r="E672">
        <v>193.7</v>
      </c>
      <c r="F672">
        <v>30824710</v>
      </c>
      <c r="G672">
        <v>76</v>
      </c>
      <c r="H672" s="2">
        <f>(Query1[[#This Row],[Close]]-Query1[[#This Row],[IPO ISSUE PRICE]])/Query1[[#This Row],[IPO ISSUE PRICE]]</f>
        <v>1.5486842105263157</v>
      </c>
      <c r="I672" s="3">
        <f>(Query1[[#This Row],[Close]]-E671)/E671</f>
        <v>9.9061522419185456E-3</v>
      </c>
    </row>
    <row r="673" spans="1:9">
      <c r="A673" s="1">
        <v>45392</v>
      </c>
      <c r="B673">
        <v>195</v>
      </c>
      <c r="C673">
        <v>199.6</v>
      </c>
      <c r="D673">
        <v>194.05</v>
      </c>
      <c r="E673">
        <v>196.9</v>
      </c>
      <c r="F673">
        <v>35141520</v>
      </c>
      <c r="G673">
        <v>76</v>
      </c>
      <c r="H673" s="2">
        <f>(Query1[[#This Row],[Close]]-Query1[[#This Row],[IPO ISSUE PRICE]])/Query1[[#This Row],[IPO ISSUE PRICE]]</f>
        <v>1.5907894736842105</v>
      </c>
      <c r="I673" s="3">
        <f>(Query1[[#This Row],[Close]]-E672)/E672</f>
        <v>1.6520392359318622E-2</v>
      </c>
    </row>
    <row r="674" spans="1:9">
      <c r="A674" s="1">
        <v>45394</v>
      </c>
      <c r="B674">
        <v>195.85</v>
      </c>
      <c r="C674">
        <v>199.7</v>
      </c>
      <c r="D674">
        <v>190.5</v>
      </c>
      <c r="E674">
        <v>192.1</v>
      </c>
      <c r="F674">
        <v>56543860</v>
      </c>
      <c r="G674">
        <v>76</v>
      </c>
      <c r="H674" s="2">
        <f>(Query1[[#This Row],[Close]]-Query1[[#This Row],[IPO ISSUE PRICE]])/Query1[[#This Row],[IPO ISSUE PRICE]]</f>
        <v>1.5276315789473685</v>
      </c>
      <c r="I674" s="3">
        <f>(Query1[[#This Row],[Close]]-E673)/E673</f>
        <v>-2.4377856780091474E-2</v>
      </c>
    </row>
    <row r="675" spans="1:9">
      <c r="A675" s="1">
        <v>45397</v>
      </c>
      <c r="B675">
        <v>188</v>
      </c>
      <c r="C675">
        <v>192.4</v>
      </c>
      <c r="D675">
        <v>184.5</v>
      </c>
      <c r="E675">
        <v>188.3</v>
      </c>
      <c r="F675">
        <v>48456560</v>
      </c>
      <c r="G675">
        <v>76</v>
      </c>
      <c r="H675" s="2">
        <f>(Query1[[#This Row],[Close]]-Query1[[#This Row],[IPO ISSUE PRICE]])/Query1[[#This Row],[IPO ISSUE PRICE]]</f>
        <v>1.4776315789473686</v>
      </c>
      <c r="I675" s="3">
        <f>(Query1[[#This Row],[Close]]-E674)/E674</f>
        <v>-1.9781363872982734E-2</v>
      </c>
    </row>
    <row r="676" spans="1:9">
      <c r="A676" s="1">
        <v>45398</v>
      </c>
      <c r="B676">
        <v>187</v>
      </c>
      <c r="C676">
        <v>189.3</v>
      </c>
      <c r="D676">
        <v>183.9</v>
      </c>
      <c r="E676">
        <v>186.45</v>
      </c>
      <c r="F676">
        <v>43273460</v>
      </c>
      <c r="G676">
        <v>76</v>
      </c>
      <c r="H676" s="2">
        <f>(Query1[[#This Row],[Close]]-Query1[[#This Row],[IPO ISSUE PRICE]])/Query1[[#This Row],[IPO ISSUE PRICE]]</f>
        <v>1.4532894736842104</v>
      </c>
      <c r="I676" s="3">
        <f>(Query1[[#This Row],[Close]]-E675)/E675</f>
        <v>-9.8247477429634772E-3</v>
      </c>
    </row>
    <row r="677" spans="1:9">
      <c r="A677" s="1">
        <v>45400</v>
      </c>
      <c r="B677">
        <v>188.5</v>
      </c>
      <c r="C677">
        <v>189.25</v>
      </c>
      <c r="D677">
        <v>183</v>
      </c>
      <c r="E677">
        <v>185.2</v>
      </c>
      <c r="F677">
        <v>35346370</v>
      </c>
      <c r="G677">
        <v>76</v>
      </c>
      <c r="H677" s="2">
        <f>(Query1[[#This Row],[Close]]-Query1[[#This Row],[IPO ISSUE PRICE]])/Query1[[#This Row],[IPO ISSUE PRICE]]</f>
        <v>1.4368421052631577</v>
      </c>
      <c r="I677" s="3">
        <f>(Query1[[#This Row],[Close]]-E676)/E676</f>
        <v>-6.7042102440332532E-3</v>
      </c>
    </row>
    <row r="678" spans="1:9">
      <c r="A678" s="1">
        <v>45401</v>
      </c>
      <c r="B678">
        <v>182.3</v>
      </c>
      <c r="C678">
        <v>191</v>
      </c>
      <c r="D678">
        <v>181.4</v>
      </c>
      <c r="E678">
        <v>189.2</v>
      </c>
      <c r="F678">
        <v>34112200</v>
      </c>
      <c r="G678">
        <v>76</v>
      </c>
      <c r="H678" s="2">
        <f>(Query1[[#This Row],[Close]]-Query1[[#This Row],[IPO ISSUE PRICE]])/Query1[[#This Row],[IPO ISSUE PRICE]]</f>
        <v>1.4894736842105261</v>
      </c>
      <c r="I678" s="3">
        <f>(Query1[[#This Row],[Close]]-E677)/E677</f>
        <v>2.1598272138228944E-2</v>
      </c>
    </row>
    <row r="679" spans="1:9">
      <c r="A679" s="1">
        <v>45404</v>
      </c>
      <c r="B679">
        <v>193</v>
      </c>
      <c r="C679">
        <v>197.7</v>
      </c>
      <c r="D679">
        <v>190.8</v>
      </c>
      <c r="E679">
        <v>193.35</v>
      </c>
      <c r="F679">
        <v>28792290</v>
      </c>
      <c r="G679">
        <v>76</v>
      </c>
      <c r="H679" s="2">
        <f>(Query1[[#This Row],[Close]]-Query1[[#This Row],[IPO ISSUE PRICE]])/Query1[[#This Row],[IPO ISSUE PRICE]]</f>
        <v>1.5440789473684209</v>
      </c>
      <c r="I679" s="3">
        <f>(Query1[[#This Row],[Close]]-E678)/E678</f>
        <v>2.193446088794929E-2</v>
      </c>
    </row>
    <row r="680" spans="1:9">
      <c r="A680" s="1">
        <v>45405</v>
      </c>
      <c r="B680">
        <v>194.4</v>
      </c>
      <c r="C680">
        <v>194.5</v>
      </c>
      <c r="D680">
        <v>186.6</v>
      </c>
      <c r="E680">
        <v>187.45</v>
      </c>
      <c r="F680">
        <v>35740730</v>
      </c>
      <c r="G680">
        <v>76</v>
      </c>
      <c r="H680" s="2">
        <f>(Query1[[#This Row],[Close]]-Query1[[#This Row],[IPO ISSUE PRICE]])/Query1[[#This Row],[IPO ISSUE PRICE]]</f>
        <v>1.4664473684210524</v>
      </c>
      <c r="I680" s="3">
        <f>(Query1[[#This Row],[Close]]-E679)/E679</f>
        <v>-3.0514610809413013E-2</v>
      </c>
    </row>
    <row r="681" spans="1:9">
      <c r="A681" s="1">
        <v>45406</v>
      </c>
      <c r="B681">
        <v>189</v>
      </c>
      <c r="C681">
        <v>189.1</v>
      </c>
      <c r="D681">
        <v>183.15</v>
      </c>
      <c r="E681">
        <v>184.4</v>
      </c>
      <c r="F681">
        <v>32622310</v>
      </c>
      <c r="G681">
        <v>76</v>
      </c>
      <c r="H681" s="2">
        <f>(Query1[[#This Row],[Close]]-Query1[[#This Row],[IPO ISSUE PRICE]])/Query1[[#This Row],[IPO ISSUE PRICE]]</f>
        <v>1.4263157894736842</v>
      </c>
      <c r="I681" s="3">
        <f>(Query1[[#This Row],[Close]]-E680)/E680</f>
        <v>-1.6271005601493641E-2</v>
      </c>
    </row>
    <row r="682" spans="1:9">
      <c r="A682" s="1">
        <v>45407</v>
      </c>
      <c r="B682">
        <v>184</v>
      </c>
      <c r="C682">
        <v>188.9</v>
      </c>
      <c r="D682">
        <v>182.5</v>
      </c>
      <c r="E682">
        <v>184.7</v>
      </c>
      <c r="F682">
        <v>38839520</v>
      </c>
      <c r="G682">
        <v>76</v>
      </c>
      <c r="H682" s="2">
        <f>(Query1[[#This Row],[Close]]-Query1[[#This Row],[IPO ISSUE PRICE]])/Query1[[#This Row],[IPO ISSUE PRICE]]</f>
        <v>1.4302631578947367</v>
      </c>
      <c r="I682" s="3">
        <f>(Query1[[#This Row],[Close]]-E681)/E681</f>
        <v>1.6268980477222503E-3</v>
      </c>
    </row>
    <row r="683" spans="1:9">
      <c r="A683" s="1">
        <v>45408</v>
      </c>
      <c r="B683">
        <v>189</v>
      </c>
      <c r="C683">
        <v>190.45</v>
      </c>
      <c r="D683">
        <v>186.35</v>
      </c>
      <c r="E683">
        <v>188.1</v>
      </c>
      <c r="F683">
        <v>33778140</v>
      </c>
      <c r="G683">
        <v>76</v>
      </c>
      <c r="H683" s="2">
        <f>(Query1[[#This Row],[Close]]-Query1[[#This Row],[IPO ISSUE PRICE]])/Query1[[#This Row],[IPO ISSUE PRICE]]</f>
        <v>1.4749999999999999</v>
      </c>
      <c r="I683" s="3">
        <f>(Query1[[#This Row],[Close]]-E682)/E682</f>
        <v>1.8408229561451033E-2</v>
      </c>
    </row>
    <row r="684" spans="1:9">
      <c r="A684" s="1">
        <v>45411</v>
      </c>
      <c r="B684">
        <v>189.4</v>
      </c>
      <c r="C684">
        <v>194.3</v>
      </c>
      <c r="D684">
        <v>186.45</v>
      </c>
      <c r="E684">
        <v>193.6</v>
      </c>
      <c r="F684">
        <v>33415230</v>
      </c>
      <c r="G684">
        <v>76</v>
      </c>
      <c r="H684" s="2">
        <f>(Query1[[#This Row],[Close]]-Query1[[#This Row],[IPO ISSUE PRICE]])/Query1[[#This Row],[IPO ISSUE PRICE]]</f>
        <v>1.5473684210526315</v>
      </c>
      <c r="I684" s="3">
        <f>(Query1[[#This Row],[Close]]-E683)/E683</f>
        <v>2.9239766081871347E-2</v>
      </c>
    </row>
    <row r="685" spans="1:9">
      <c r="A685" s="1">
        <v>45412</v>
      </c>
      <c r="B685">
        <v>195</v>
      </c>
      <c r="C685">
        <v>196.95</v>
      </c>
      <c r="D685">
        <v>192.2</v>
      </c>
      <c r="E685">
        <v>193.15</v>
      </c>
      <c r="F685">
        <v>39383260</v>
      </c>
      <c r="G685">
        <v>76</v>
      </c>
      <c r="H685" s="2">
        <f>(Query1[[#This Row],[Close]]-Query1[[#This Row],[IPO ISSUE PRICE]])/Query1[[#This Row],[IPO ISSUE PRICE]]</f>
        <v>1.5414473684210528</v>
      </c>
      <c r="I685" s="3">
        <f>(Query1[[#This Row],[Close]]-E684)/E684</f>
        <v>-2.3243801652891977E-3</v>
      </c>
    </row>
    <row r="686" spans="1:9">
      <c r="A686" s="1">
        <v>45414</v>
      </c>
      <c r="B686">
        <v>193.6</v>
      </c>
      <c r="C686">
        <v>195.95</v>
      </c>
      <c r="D686">
        <v>192.75</v>
      </c>
      <c r="E686">
        <v>195.45</v>
      </c>
      <c r="F686">
        <v>27391440</v>
      </c>
      <c r="G686">
        <v>76</v>
      </c>
      <c r="H686" s="2">
        <f>(Query1[[#This Row],[Close]]-Query1[[#This Row],[IPO ISSUE PRICE]])/Query1[[#This Row],[IPO ISSUE PRICE]]</f>
        <v>1.5717105263157893</v>
      </c>
      <c r="I686" s="3">
        <f>(Query1[[#This Row],[Close]]-E685)/E685</f>
        <v>1.1907843644835532E-2</v>
      </c>
    </row>
    <row r="687" spans="1:9">
      <c r="A687" s="1">
        <v>45415</v>
      </c>
      <c r="B687">
        <v>196.8</v>
      </c>
      <c r="C687">
        <v>200.35</v>
      </c>
      <c r="D687">
        <v>193.1</v>
      </c>
      <c r="E687">
        <v>197.25</v>
      </c>
      <c r="F687">
        <v>37882270</v>
      </c>
      <c r="G687">
        <v>76</v>
      </c>
      <c r="H687" s="2">
        <f>(Query1[[#This Row],[Close]]-Query1[[#This Row],[IPO ISSUE PRICE]])/Query1[[#This Row],[IPO ISSUE PRICE]]</f>
        <v>1.5953947368421053</v>
      </c>
      <c r="I687" s="3">
        <f>(Query1[[#This Row],[Close]]-E686)/E686</f>
        <v>9.2095165003837891E-3</v>
      </c>
    </row>
    <row r="688" spans="1:9">
      <c r="A688" s="1">
        <v>45418</v>
      </c>
      <c r="B688">
        <v>199</v>
      </c>
      <c r="C688">
        <v>202</v>
      </c>
      <c r="D688">
        <v>194.5</v>
      </c>
      <c r="E688">
        <v>195.7</v>
      </c>
      <c r="F688">
        <v>26394230</v>
      </c>
      <c r="G688">
        <v>76</v>
      </c>
      <c r="H688" s="2">
        <f>(Query1[[#This Row],[Close]]-Query1[[#This Row],[IPO ISSUE PRICE]])/Query1[[#This Row],[IPO ISSUE PRICE]]</f>
        <v>1.575</v>
      </c>
      <c r="I688" s="3">
        <f>(Query1[[#This Row],[Close]]-E687)/E687</f>
        <v>-7.85804816223073E-3</v>
      </c>
    </row>
    <row r="689" spans="1:9">
      <c r="A689" s="1">
        <v>45419</v>
      </c>
      <c r="B689">
        <v>196.15</v>
      </c>
      <c r="C689">
        <v>196.35</v>
      </c>
      <c r="D689">
        <v>182.35</v>
      </c>
      <c r="E689">
        <v>191.45</v>
      </c>
      <c r="F689">
        <v>48161260</v>
      </c>
      <c r="G689">
        <v>76</v>
      </c>
      <c r="H689" s="2">
        <f>(Query1[[#This Row],[Close]]-Query1[[#This Row],[IPO ISSUE PRICE]])/Query1[[#This Row],[IPO ISSUE PRICE]]</f>
        <v>1.519078947368421</v>
      </c>
      <c r="I689" s="3">
        <f>(Query1[[#This Row],[Close]]-E688)/E688</f>
        <v>-2.1716913643331632E-2</v>
      </c>
    </row>
    <row r="690" spans="1:9">
      <c r="A690" s="1">
        <v>45420</v>
      </c>
      <c r="B690">
        <v>190.65</v>
      </c>
      <c r="C690">
        <v>196</v>
      </c>
      <c r="D690">
        <v>187.3</v>
      </c>
      <c r="E690">
        <v>195.45</v>
      </c>
      <c r="F690">
        <v>47941400</v>
      </c>
      <c r="G690">
        <v>76</v>
      </c>
      <c r="H690" s="2">
        <f>(Query1[[#This Row],[Close]]-Query1[[#This Row],[IPO ISSUE PRICE]])/Query1[[#This Row],[IPO ISSUE PRICE]]</f>
        <v>1.5717105263157893</v>
      </c>
      <c r="I690" s="3">
        <f>(Query1[[#This Row],[Close]]-E689)/E689</f>
        <v>2.0893183598850878E-2</v>
      </c>
    </row>
    <row r="691" spans="1:9">
      <c r="A691" s="1">
        <v>45421</v>
      </c>
      <c r="B691">
        <v>195</v>
      </c>
      <c r="C691">
        <v>199.7</v>
      </c>
      <c r="D691">
        <v>193.1</v>
      </c>
      <c r="E691">
        <v>195.25</v>
      </c>
      <c r="F691">
        <v>47274760</v>
      </c>
      <c r="G691">
        <v>76</v>
      </c>
      <c r="H691" s="2">
        <f>(Query1[[#This Row],[Close]]-Query1[[#This Row],[IPO ISSUE PRICE]])/Query1[[#This Row],[IPO ISSUE PRICE]]</f>
        <v>1.569078947368421</v>
      </c>
      <c r="I691" s="3">
        <f>(Query1[[#This Row],[Close]]-E690)/E690</f>
        <v>-1.0232796111536897E-3</v>
      </c>
    </row>
    <row r="692" spans="1:9">
      <c r="A692" s="1">
        <v>45422</v>
      </c>
      <c r="B692">
        <v>196.35</v>
      </c>
      <c r="C692">
        <v>205</v>
      </c>
      <c r="D692">
        <v>189.9</v>
      </c>
      <c r="E692">
        <v>201.3</v>
      </c>
      <c r="F692">
        <v>52717900</v>
      </c>
      <c r="G692">
        <v>76</v>
      </c>
      <c r="H692" s="2">
        <f>(Query1[[#This Row],[Close]]-Query1[[#This Row],[IPO ISSUE PRICE]])/Query1[[#This Row],[IPO ISSUE PRICE]]</f>
        <v>1.648684210526316</v>
      </c>
      <c r="I692" s="3">
        <f>(Query1[[#This Row],[Close]]-E691)/E691</f>
        <v>3.0985915492957806E-2</v>
      </c>
    </row>
    <row r="693" spans="1:9">
      <c r="A693" s="1">
        <v>45425</v>
      </c>
      <c r="B693">
        <v>205.8</v>
      </c>
      <c r="C693">
        <v>207.2</v>
      </c>
      <c r="D693">
        <v>186.75</v>
      </c>
      <c r="E693">
        <v>194.3</v>
      </c>
      <c r="F693">
        <v>114135900</v>
      </c>
      <c r="G693">
        <v>76</v>
      </c>
      <c r="H693" s="2">
        <f>(Query1[[#This Row],[Close]]-Query1[[#This Row],[IPO ISSUE PRICE]])/Query1[[#This Row],[IPO ISSUE PRICE]]</f>
        <v>1.5565789473684213</v>
      </c>
      <c r="I693" s="3">
        <f>(Query1[[#This Row],[Close]]-E692)/E692</f>
        <v>-3.4773969200198707E-2</v>
      </c>
    </row>
    <row r="694" spans="1:9">
      <c r="A694" s="1">
        <v>45426</v>
      </c>
      <c r="B694">
        <v>191.7</v>
      </c>
      <c r="C694">
        <v>193.45</v>
      </c>
      <c r="D694">
        <v>182.1</v>
      </c>
      <c r="E694">
        <v>187.3</v>
      </c>
      <c r="F694">
        <v>110070700</v>
      </c>
      <c r="G694">
        <v>76</v>
      </c>
      <c r="H694" s="2">
        <f>(Query1[[#This Row],[Close]]-Query1[[#This Row],[IPO ISSUE PRICE]])/Query1[[#This Row],[IPO ISSUE PRICE]]</f>
        <v>1.4644736842105264</v>
      </c>
      <c r="I694" s="3">
        <f>(Query1[[#This Row],[Close]]-E693)/E693</f>
        <v>-3.6026762738033964E-2</v>
      </c>
    </row>
    <row r="695" spans="1:9">
      <c r="A695" s="1">
        <v>45427</v>
      </c>
      <c r="B695">
        <v>188.8</v>
      </c>
      <c r="C695">
        <v>193.4</v>
      </c>
      <c r="D695">
        <v>183.15</v>
      </c>
      <c r="E695">
        <v>192</v>
      </c>
      <c r="F695">
        <v>44772990</v>
      </c>
      <c r="G695">
        <v>76</v>
      </c>
      <c r="H695" s="2">
        <f>(Query1[[#This Row],[Close]]-Query1[[#This Row],[IPO ISSUE PRICE]])/Query1[[#This Row],[IPO ISSUE PRICE]]</f>
        <v>1.5263157894736843</v>
      </c>
      <c r="I695" s="3">
        <f>(Query1[[#This Row],[Close]]-E694)/E694</f>
        <v>2.5093432995194811E-2</v>
      </c>
    </row>
    <row r="696" spans="1:9">
      <c r="A696" s="1">
        <v>45428</v>
      </c>
      <c r="B696">
        <v>192.9</v>
      </c>
      <c r="C696">
        <v>195.85</v>
      </c>
      <c r="D696">
        <v>189</v>
      </c>
      <c r="E696">
        <v>195.2</v>
      </c>
      <c r="F696">
        <v>35478590</v>
      </c>
      <c r="G696">
        <v>76</v>
      </c>
      <c r="H696" s="2">
        <f>(Query1[[#This Row],[Close]]-Query1[[#This Row],[IPO ISSUE PRICE]])/Query1[[#This Row],[IPO ISSUE PRICE]]</f>
        <v>1.5684210526315787</v>
      </c>
      <c r="I696" s="3">
        <f>(Query1[[#This Row],[Close]]-E695)/E695</f>
        <v>1.6666666666666607E-2</v>
      </c>
    </row>
    <row r="697" spans="1:9">
      <c r="A697" s="1">
        <v>45429</v>
      </c>
      <c r="B697">
        <v>195.15</v>
      </c>
      <c r="C697">
        <v>196</v>
      </c>
      <c r="D697">
        <v>193.1</v>
      </c>
      <c r="E697">
        <v>194.85</v>
      </c>
      <c r="F697">
        <v>20841350</v>
      </c>
      <c r="G697">
        <v>76</v>
      </c>
      <c r="H697" s="2">
        <f>(Query1[[#This Row],[Close]]-Query1[[#This Row],[IPO ISSUE PRICE]])/Query1[[#This Row],[IPO ISSUE PRICE]]</f>
        <v>1.5638157894736842</v>
      </c>
      <c r="I697" s="3">
        <f>(Query1[[#This Row],[Close]]-E696)/E696</f>
        <v>-1.7930327868852169E-3</v>
      </c>
    </row>
    <row r="698" spans="1:9">
      <c r="A698" s="1">
        <v>45433</v>
      </c>
      <c r="B698">
        <v>194.4</v>
      </c>
      <c r="C698">
        <v>196.5</v>
      </c>
      <c r="D698">
        <v>188.75</v>
      </c>
      <c r="E698">
        <v>189.1</v>
      </c>
      <c r="F698">
        <v>33453170</v>
      </c>
      <c r="G698">
        <v>76</v>
      </c>
      <c r="H698" s="2">
        <f>(Query1[[#This Row],[Close]]-Query1[[#This Row],[IPO ISSUE PRICE]])/Query1[[#This Row],[IPO ISSUE PRICE]]</f>
        <v>1.4881578947368421</v>
      </c>
      <c r="I698" s="3">
        <f>(Query1[[#This Row],[Close]]-E697)/E697</f>
        <v>-2.9509879394405955E-2</v>
      </c>
    </row>
    <row r="699" spans="1:9">
      <c r="A699" s="1">
        <v>45434</v>
      </c>
      <c r="B699">
        <v>190</v>
      </c>
      <c r="C699">
        <v>190</v>
      </c>
      <c r="D699">
        <v>183.35</v>
      </c>
      <c r="E699">
        <v>185.5</v>
      </c>
      <c r="F699">
        <v>40374410</v>
      </c>
      <c r="G699">
        <v>76</v>
      </c>
      <c r="H699" s="2">
        <f>(Query1[[#This Row],[Close]]-Query1[[#This Row],[IPO ISSUE PRICE]])/Query1[[#This Row],[IPO ISSUE PRICE]]</f>
        <v>1.4407894736842106</v>
      </c>
      <c r="I699" s="3">
        <f>(Query1[[#This Row],[Close]]-E698)/E698</f>
        <v>-1.9037546271813827E-2</v>
      </c>
    </row>
    <row r="700" spans="1:9">
      <c r="A700" s="1">
        <v>45435</v>
      </c>
      <c r="B700">
        <v>186.5</v>
      </c>
      <c r="C700">
        <v>189.4</v>
      </c>
      <c r="D700">
        <v>184.5</v>
      </c>
      <c r="E700">
        <v>186.8</v>
      </c>
      <c r="F700">
        <v>20931130</v>
      </c>
      <c r="G700">
        <v>76</v>
      </c>
      <c r="H700" s="2">
        <f>(Query1[[#This Row],[Close]]-Query1[[#This Row],[IPO ISSUE PRICE]])/Query1[[#This Row],[IPO ISSUE PRICE]]</f>
        <v>1.4578947368421054</v>
      </c>
      <c r="I700" s="3">
        <f>(Query1[[#This Row],[Close]]-E699)/E699</f>
        <v>7.0080862533693335E-3</v>
      </c>
    </row>
    <row r="701" spans="1:9">
      <c r="A701" s="1">
        <v>45436</v>
      </c>
      <c r="B701">
        <v>188</v>
      </c>
      <c r="C701">
        <v>188</v>
      </c>
      <c r="D701">
        <v>179.1</v>
      </c>
      <c r="E701">
        <v>182.9</v>
      </c>
      <c r="F701">
        <v>37064090</v>
      </c>
      <c r="G701">
        <v>76</v>
      </c>
      <c r="H701" s="2">
        <f>(Query1[[#This Row],[Close]]-Query1[[#This Row],[IPO ISSUE PRICE]])/Query1[[#This Row],[IPO ISSUE PRICE]]</f>
        <v>1.4065789473684212</v>
      </c>
      <c r="I701" s="3">
        <f>(Query1[[#This Row],[Close]]-E700)/E700</f>
        <v>-2.0877944325481828E-2</v>
      </c>
    </row>
    <row r="702" spans="1:9">
      <c r="A702" s="1">
        <v>45439</v>
      </c>
      <c r="B702">
        <v>183.9</v>
      </c>
      <c r="C702">
        <v>185.45</v>
      </c>
      <c r="D702">
        <v>178.4</v>
      </c>
      <c r="E702">
        <v>183.65</v>
      </c>
      <c r="F702">
        <v>47652250</v>
      </c>
      <c r="G702">
        <v>76</v>
      </c>
      <c r="H702" s="2">
        <f>(Query1[[#This Row],[Close]]-Query1[[#This Row],[IPO ISSUE PRICE]])/Query1[[#This Row],[IPO ISSUE PRICE]]</f>
        <v>1.4164473684210528</v>
      </c>
      <c r="I702" s="3">
        <f>(Query1[[#This Row],[Close]]-E701)/E701</f>
        <v>4.1006014215418263E-3</v>
      </c>
    </row>
    <row r="703" spans="1:9">
      <c r="A703" s="1">
        <v>45440</v>
      </c>
      <c r="B703">
        <v>184.35</v>
      </c>
      <c r="C703">
        <v>184.8</v>
      </c>
      <c r="D703">
        <v>180.4</v>
      </c>
      <c r="E703">
        <v>181.6</v>
      </c>
      <c r="F703">
        <v>34444520</v>
      </c>
      <c r="G703">
        <v>76</v>
      </c>
      <c r="H703" s="2">
        <f>(Query1[[#This Row],[Close]]-Query1[[#This Row],[IPO ISSUE PRICE]])/Query1[[#This Row],[IPO ISSUE PRICE]]</f>
        <v>1.3894736842105262</v>
      </c>
      <c r="I703" s="3">
        <f>(Query1[[#This Row],[Close]]-E702)/E702</f>
        <v>-1.1162537435339022E-2</v>
      </c>
    </row>
    <row r="704" spans="1:9">
      <c r="A704" s="1">
        <v>45441</v>
      </c>
      <c r="B704">
        <v>180.55</v>
      </c>
      <c r="C704">
        <v>185.4</v>
      </c>
      <c r="D704">
        <v>180</v>
      </c>
      <c r="E704">
        <v>183.35</v>
      </c>
      <c r="F704">
        <v>30888200</v>
      </c>
      <c r="G704">
        <v>76</v>
      </c>
      <c r="H704" s="2">
        <f>(Query1[[#This Row],[Close]]-Query1[[#This Row],[IPO ISSUE PRICE]])/Query1[[#This Row],[IPO ISSUE PRICE]]</f>
        <v>1.4124999999999999</v>
      </c>
      <c r="I704" s="3">
        <f>(Query1[[#This Row],[Close]]-E703)/E703</f>
        <v>9.6365638766519827E-3</v>
      </c>
    </row>
    <row r="705" spans="1:9">
      <c r="A705" s="1">
        <v>45442</v>
      </c>
      <c r="B705">
        <v>183</v>
      </c>
      <c r="C705">
        <v>185</v>
      </c>
      <c r="D705">
        <v>179</v>
      </c>
      <c r="E705">
        <v>180.6</v>
      </c>
      <c r="F705">
        <v>33684170</v>
      </c>
      <c r="G705">
        <v>76</v>
      </c>
      <c r="H705" s="2">
        <f>(Query1[[#This Row],[Close]]-Query1[[#This Row],[IPO ISSUE PRICE]])/Query1[[#This Row],[IPO ISSUE PRICE]]</f>
        <v>1.3763157894736842</v>
      </c>
      <c r="I705" s="3">
        <f>(Query1[[#This Row],[Close]]-E704)/E704</f>
        <v>-1.4998636487592037E-2</v>
      </c>
    </row>
    <row r="706" spans="1:9">
      <c r="A706" s="1">
        <v>45443</v>
      </c>
      <c r="B706">
        <v>178.8</v>
      </c>
      <c r="C706">
        <v>183.15</v>
      </c>
      <c r="D706">
        <v>171.25</v>
      </c>
      <c r="E706">
        <v>179.15</v>
      </c>
      <c r="F706">
        <v>149283400</v>
      </c>
      <c r="G706">
        <v>76</v>
      </c>
      <c r="H706" s="2">
        <f>(Query1[[#This Row],[Close]]-Query1[[#This Row],[IPO ISSUE PRICE]])/Query1[[#This Row],[IPO ISSUE PRICE]]</f>
        <v>1.3572368421052632</v>
      </c>
      <c r="I706" s="3">
        <f>(Query1[[#This Row],[Close]]-E705)/E705</f>
        <v>-8.0287929125137797E-3</v>
      </c>
    </row>
    <row r="707" spans="1:9">
      <c r="A707" s="1">
        <v>45446</v>
      </c>
      <c r="B707">
        <v>184.5</v>
      </c>
      <c r="C707">
        <v>185.5</v>
      </c>
      <c r="D707">
        <v>175</v>
      </c>
      <c r="E707">
        <v>175.45</v>
      </c>
      <c r="F707">
        <v>53437120</v>
      </c>
      <c r="G707">
        <v>76</v>
      </c>
      <c r="H707" s="2">
        <f>(Query1[[#This Row],[Close]]-Query1[[#This Row],[IPO ISSUE PRICE]])/Query1[[#This Row],[IPO ISSUE PRICE]]</f>
        <v>1.3085526315789473</v>
      </c>
      <c r="I707" s="3">
        <f>(Query1[[#This Row],[Close]]-E706)/E706</f>
        <v>-2.0653084007814775E-2</v>
      </c>
    </row>
    <row r="708" spans="1:9">
      <c r="A708" s="1">
        <v>45447</v>
      </c>
      <c r="B708">
        <v>176.5</v>
      </c>
      <c r="C708">
        <v>176.5</v>
      </c>
      <c r="D708">
        <v>146.30000000000001</v>
      </c>
      <c r="E708">
        <v>172</v>
      </c>
      <c r="F708">
        <v>75272850</v>
      </c>
      <c r="G708">
        <v>76</v>
      </c>
      <c r="H708" s="2">
        <f>(Query1[[#This Row],[Close]]-Query1[[#This Row],[IPO ISSUE PRICE]])/Query1[[#This Row],[IPO ISSUE PRICE]]</f>
        <v>1.263157894736842</v>
      </c>
      <c r="I708" s="3">
        <f>(Query1[[#This Row],[Close]]-E707)/E707</f>
        <v>-1.9663721858079162E-2</v>
      </c>
    </row>
    <row r="709" spans="1:9">
      <c r="A709" s="1">
        <v>45448</v>
      </c>
      <c r="B709">
        <v>175</v>
      </c>
      <c r="C709">
        <v>185.3</v>
      </c>
      <c r="D709">
        <v>166.75</v>
      </c>
      <c r="E709">
        <v>183.8</v>
      </c>
      <c r="F709">
        <v>57213530</v>
      </c>
      <c r="G709">
        <v>76</v>
      </c>
      <c r="H709" s="2">
        <f>(Query1[[#This Row],[Close]]-Query1[[#This Row],[IPO ISSUE PRICE]])/Query1[[#This Row],[IPO ISSUE PRICE]]</f>
        <v>1.418421052631579</v>
      </c>
      <c r="I709" s="3">
        <f>(Query1[[#This Row],[Close]]-E708)/E708</f>
        <v>6.860465116279077E-2</v>
      </c>
    </row>
    <row r="710" spans="1:9">
      <c r="A710" s="1">
        <v>45449</v>
      </c>
      <c r="B710">
        <v>185</v>
      </c>
      <c r="C710">
        <v>185.8</v>
      </c>
      <c r="D710">
        <v>182.5</v>
      </c>
      <c r="E710">
        <v>183.65</v>
      </c>
      <c r="F710">
        <v>20887550</v>
      </c>
      <c r="G710">
        <v>76</v>
      </c>
      <c r="H710" s="2">
        <f>(Query1[[#This Row],[Close]]-Query1[[#This Row],[IPO ISSUE PRICE]])/Query1[[#This Row],[IPO ISSUE PRICE]]</f>
        <v>1.4164473684210528</v>
      </c>
      <c r="I710" s="3">
        <f>(Query1[[#This Row],[Close]]-E709)/E709</f>
        <v>-8.1610446137108641E-4</v>
      </c>
    </row>
    <row r="711" spans="1:9">
      <c r="A711" s="1">
        <v>45450</v>
      </c>
      <c r="B711">
        <v>182.5</v>
      </c>
      <c r="C711">
        <v>187</v>
      </c>
      <c r="D711">
        <v>180.7</v>
      </c>
      <c r="E711">
        <v>184</v>
      </c>
      <c r="F711">
        <v>33175400</v>
      </c>
      <c r="G711">
        <v>76</v>
      </c>
      <c r="H711" s="2">
        <f>(Query1[[#This Row],[Close]]-Query1[[#This Row],[IPO ISSUE PRICE]])/Query1[[#This Row],[IPO ISSUE PRICE]]</f>
        <v>1.4210526315789473</v>
      </c>
      <c r="I711" s="3">
        <f>(Query1[[#This Row],[Close]]-E710)/E710</f>
        <v>1.9057990743261328E-3</v>
      </c>
    </row>
    <row r="712" spans="1:9">
      <c r="A712" s="1">
        <v>45453</v>
      </c>
      <c r="B712">
        <v>184</v>
      </c>
      <c r="C712">
        <v>186.5</v>
      </c>
      <c r="D712">
        <v>181.56</v>
      </c>
      <c r="E712">
        <v>182.16</v>
      </c>
      <c r="F712">
        <v>33163470</v>
      </c>
      <c r="G712">
        <v>76</v>
      </c>
      <c r="H712" s="2">
        <f>(Query1[[#This Row],[Close]]-Query1[[#This Row],[IPO ISSUE PRICE]])/Query1[[#This Row],[IPO ISSUE PRICE]]</f>
        <v>1.3968421052631579</v>
      </c>
      <c r="I712" s="3">
        <f>(Query1[[#This Row],[Close]]-E711)/E711</f>
        <v>-1.0000000000000019E-2</v>
      </c>
    </row>
    <row r="713" spans="1:9">
      <c r="A713" s="1">
        <v>45454</v>
      </c>
      <c r="B713">
        <v>182.6</v>
      </c>
      <c r="C713">
        <v>186</v>
      </c>
      <c r="D713">
        <v>180.1</v>
      </c>
      <c r="E713">
        <v>184.02</v>
      </c>
      <c r="F713">
        <v>41803810</v>
      </c>
      <c r="G713">
        <v>76</v>
      </c>
      <c r="H713" s="2">
        <f>(Query1[[#This Row],[Close]]-Query1[[#This Row],[IPO ISSUE PRICE]])/Query1[[#This Row],[IPO ISSUE PRICE]]</f>
        <v>1.4213157894736843</v>
      </c>
      <c r="I713" s="3">
        <f>(Query1[[#This Row],[Close]]-E712)/E712</f>
        <v>1.0210803689064634E-2</v>
      </c>
    </row>
    <row r="714" spans="1:9">
      <c r="A714" s="1">
        <v>45455</v>
      </c>
      <c r="B714">
        <v>184.39</v>
      </c>
      <c r="C714">
        <v>184.88</v>
      </c>
      <c r="D714">
        <v>179.33</v>
      </c>
      <c r="E714">
        <v>179.65</v>
      </c>
      <c r="F714">
        <v>42830410</v>
      </c>
      <c r="G714">
        <v>76</v>
      </c>
      <c r="H714" s="2">
        <f>(Query1[[#This Row],[Close]]-Query1[[#This Row],[IPO ISSUE PRICE]])/Query1[[#This Row],[IPO ISSUE PRICE]]</f>
        <v>1.3638157894736842</v>
      </c>
      <c r="I714" s="3">
        <f>(Query1[[#This Row],[Close]]-E713)/E713</f>
        <v>-2.3747418758830584E-2</v>
      </c>
    </row>
    <row r="715" spans="1:9">
      <c r="A715" s="1">
        <v>45456</v>
      </c>
      <c r="B715">
        <v>183.8</v>
      </c>
      <c r="C715">
        <v>185.8</v>
      </c>
      <c r="D715">
        <v>180.15</v>
      </c>
      <c r="E715">
        <v>184.94</v>
      </c>
      <c r="F715">
        <v>47891480</v>
      </c>
      <c r="G715">
        <v>76</v>
      </c>
      <c r="H715" s="2">
        <f>(Query1[[#This Row],[Close]]-Query1[[#This Row],[IPO ISSUE PRICE]])/Query1[[#This Row],[IPO ISSUE PRICE]]</f>
        <v>1.4334210526315789</v>
      </c>
      <c r="I715" s="3">
        <f>(Query1[[#This Row],[Close]]-E714)/E714</f>
        <v>2.9446145282493692E-2</v>
      </c>
    </row>
    <row r="716" spans="1:9">
      <c r="A716" s="1">
        <v>45457</v>
      </c>
      <c r="B716">
        <v>185.7</v>
      </c>
      <c r="C716">
        <v>186.6</v>
      </c>
      <c r="D716">
        <v>184.05</v>
      </c>
      <c r="E716">
        <v>186.24</v>
      </c>
      <c r="F716">
        <v>29823710</v>
      </c>
      <c r="G716">
        <v>76</v>
      </c>
      <c r="H716" s="2">
        <f>(Query1[[#This Row],[Close]]-Query1[[#This Row],[IPO ISSUE PRICE]])/Query1[[#This Row],[IPO ISSUE PRICE]]</f>
        <v>1.4505263157894739</v>
      </c>
      <c r="I716" s="3">
        <f>(Query1[[#This Row],[Close]]-E715)/E715</f>
        <v>7.0293068022061825E-3</v>
      </c>
    </row>
    <row r="717" spans="1:9">
      <c r="A717" s="1">
        <v>45461</v>
      </c>
      <c r="B717">
        <v>187.5</v>
      </c>
      <c r="C717">
        <v>189.1</v>
      </c>
      <c r="D717">
        <v>184.8</v>
      </c>
      <c r="E717">
        <v>188.61</v>
      </c>
      <c r="F717">
        <v>40633370</v>
      </c>
      <c r="G717">
        <v>76</v>
      </c>
      <c r="H717" s="2">
        <f>(Query1[[#This Row],[Close]]-Query1[[#This Row],[IPO ISSUE PRICE]])/Query1[[#This Row],[IPO ISSUE PRICE]]</f>
        <v>1.4817105263157897</v>
      </c>
      <c r="I717" s="3">
        <f>(Query1[[#This Row],[Close]]-E716)/E716</f>
        <v>1.272551546391755E-2</v>
      </c>
    </row>
    <row r="718" spans="1:9">
      <c r="A718" s="1">
        <v>45462</v>
      </c>
      <c r="B718">
        <v>190</v>
      </c>
      <c r="C718">
        <v>201</v>
      </c>
      <c r="D718">
        <v>189.56</v>
      </c>
      <c r="E718">
        <v>198.49</v>
      </c>
      <c r="F718">
        <v>112274800</v>
      </c>
      <c r="G718">
        <v>76</v>
      </c>
      <c r="H718" s="2">
        <f>(Query1[[#This Row],[Close]]-Query1[[#This Row],[IPO ISSUE PRICE]])/Query1[[#This Row],[IPO ISSUE PRICE]]</f>
        <v>1.6117105263157896</v>
      </c>
      <c r="I718" s="3">
        <f>(Query1[[#This Row],[Close]]-E717)/E717</f>
        <v>5.2383224643444116E-2</v>
      </c>
    </row>
    <row r="719" spans="1:9">
      <c r="A719" s="1">
        <v>45463</v>
      </c>
      <c r="B719">
        <v>199.99</v>
      </c>
      <c r="C719">
        <v>201.8</v>
      </c>
      <c r="D719">
        <v>195</v>
      </c>
      <c r="E719">
        <v>197.05</v>
      </c>
      <c r="F719">
        <v>44395210</v>
      </c>
      <c r="G719">
        <v>76</v>
      </c>
      <c r="H719" s="2">
        <f>(Query1[[#This Row],[Close]]-Query1[[#This Row],[IPO ISSUE PRICE]])/Query1[[#This Row],[IPO ISSUE PRICE]]</f>
        <v>1.592763157894737</v>
      </c>
      <c r="I719" s="3">
        <f>(Query1[[#This Row],[Close]]-E718)/E718</f>
        <v>-7.254773540228715E-3</v>
      </c>
    </row>
    <row r="720" spans="1:9">
      <c r="A720" s="1">
        <v>45464</v>
      </c>
      <c r="B720">
        <v>197.9</v>
      </c>
      <c r="C720">
        <v>199.95</v>
      </c>
      <c r="D720">
        <v>193.05</v>
      </c>
      <c r="E720">
        <v>193.95</v>
      </c>
      <c r="F720">
        <v>37841130</v>
      </c>
      <c r="G720">
        <v>76</v>
      </c>
      <c r="H720" s="2">
        <f>(Query1[[#This Row],[Close]]-Query1[[#This Row],[IPO ISSUE PRICE]])/Query1[[#This Row],[IPO ISSUE PRICE]]</f>
        <v>1.5519736842105261</v>
      </c>
      <c r="I720" s="3">
        <f>(Query1[[#This Row],[Close]]-E719)/E719</f>
        <v>-1.5732047703628634E-2</v>
      </c>
    </row>
    <row r="721" spans="1:9">
      <c r="A721" s="1">
        <v>45467</v>
      </c>
      <c r="B721">
        <v>193.9</v>
      </c>
      <c r="C721">
        <v>199.8</v>
      </c>
      <c r="D721">
        <v>191.95</v>
      </c>
      <c r="E721">
        <v>198.92</v>
      </c>
      <c r="F721">
        <v>34201370</v>
      </c>
      <c r="G721">
        <v>76</v>
      </c>
      <c r="H721" s="2">
        <f>(Query1[[#This Row],[Close]]-Query1[[#This Row],[IPO ISSUE PRICE]])/Query1[[#This Row],[IPO ISSUE PRICE]]</f>
        <v>1.6173684210526313</v>
      </c>
      <c r="I721" s="3">
        <f>(Query1[[#This Row],[Close]]-E720)/E720</f>
        <v>2.5625161124001025E-2</v>
      </c>
    </row>
    <row r="722" spans="1:9">
      <c r="A722" s="1">
        <v>45468</v>
      </c>
      <c r="B722">
        <v>201.75</v>
      </c>
      <c r="C722">
        <v>204.7</v>
      </c>
      <c r="D722">
        <v>200</v>
      </c>
      <c r="E722">
        <v>202.27</v>
      </c>
      <c r="F722">
        <v>60670560</v>
      </c>
      <c r="G722">
        <v>76</v>
      </c>
      <c r="H722" s="2">
        <f>(Query1[[#This Row],[Close]]-Query1[[#This Row],[IPO ISSUE PRICE]])/Query1[[#This Row],[IPO ISSUE PRICE]]</f>
        <v>1.6614473684210527</v>
      </c>
      <c r="I722" s="3">
        <f>(Query1[[#This Row],[Close]]-E721)/E721</f>
        <v>1.6840941081842063E-2</v>
      </c>
    </row>
    <row r="723" spans="1:9">
      <c r="A723" s="1">
        <v>45469</v>
      </c>
      <c r="B723">
        <v>202.56</v>
      </c>
      <c r="C723">
        <v>203.48</v>
      </c>
      <c r="D723">
        <v>196</v>
      </c>
      <c r="E723">
        <v>197.25</v>
      </c>
      <c r="F723">
        <v>38934430</v>
      </c>
      <c r="G723">
        <v>76</v>
      </c>
      <c r="H723" s="2">
        <f>(Query1[[#This Row],[Close]]-Query1[[#This Row],[IPO ISSUE PRICE]])/Query1[[#This Row],[IPO ISSUE PRICE]]</f>
        <v>1.5953947368421053</v>
      </c>
      <c r="I723" s="3">
        <f>(Query1[[#This Row],[Close]]-E722)/E722</f>
        <v>-2.4818312157017897E-2</v>
      </c>
    </row>
    <row r="724" spans="1:9">
      <c r="A724" s="1">
        <v>45470</v>
      </c>
      <c r="B724">
        <v>198.2</v>
      </c>
      <c r="C724">
        <v>201.5</v>
      </c>
      <c r="D724">
        <v>196</v>
      </c>
      <c r="E724">
        <v>200.15</v>
      </c>
      <c r="F724">
        <v>32535930</v>
      </c>
      <c r="G724">
        <v>76</v>
      </c>
      <c r="H724" s="2">
        <f>(Query1[[#This Row],[Close]]-Query1[[#This Row],[IPO ISSUE PRICE]])/Query1[[#This Row],[IPO ISSUE PRICE]]</f>
        <v>1.6335526315789475</v>
      </c>
      <c r="I724" s="3">
        <f>(Query1[[#This Row],[Close]]-E723)/E723</f>
        <v>1.4702154626109028E-2</v>
      </c>
    </row>
    <row r="725" spans="1:9">
      <c r="A725" s="1">
        <v>45471</v>
      </c>
      <c r="B725">
        <v>201.3</v>
      </c>
      <c r="C725">
        <v>203.92</v>
      </c>
      <c r="D725">
        <v>199.1</v>
      </c>
      <c r="E725">
        <v>200.56</v>
      </c>
      <c r="F725">
        <v>37287390</v>
      </c>
      <c r="G725">
        <v>76</v>
      </c>
      <c r="H725" s="2">
        <f>(Query1[[#This Row],[Close]]-Query1[[#This Row],[IPO ISSUE PRICE]])/Query1[[#This Row],[IPO ISSUE PRICE]]</f>
        <v>1.6389473684210527</v>
      </c>
      <c r="I725" s="3">
        <f>(Query1[[#This Row],[Close]]-E724)/E724</f>
        <v>2.0484636522607874E-3</v>
      </c>
    </row>
    <row r="726" spans="1:9">
      <c r="A726" s="1">
        <v>45474</v>
      </c>
      <c r="B726">
        <v>199.71</v>
      </c>
      <c r="C726">
        <v>204.5</v>
      </c>
      <c r="D726">
        <v>194.56</v>
      </c>
      <c r="E726">
        <v>203.97</v>
      </c>
      <c r="F726">
        <v>53536850</v>
      </c>
      <c r="G726">
        <v>76</v>
      </c>
      <c r="H726" s="2">
        <f>(Query1[[#This Row],[Close]]-Query1[[#This Row],[IPO ISSUE PRICE]])/Query1[[#This Row],[IPO ISSUE PRICE]]</f>
        <v>1.6838157894736843</v>
      </c>
      <c r="I726" s="3">
        <f>(Query1[[#This Row],[Close]]-E725)/E725</f>
        <v>1.7002393298763446E-2</v>
      </c>
    </row>
    <row r="727" spans="1:9">
      <c r="A727" s="1">
        <v>45475</v>
      </c>
      <c r="B727">
        <v>204</v>
      </c>
      <c r="C727">
        <v>209.84</v>
      </c>
      <c r="D727">
        <v>202.25</v>
      </c>
      <c r="E727">
        <v>209.09</v>
      </c>
      <c r="F727">
        <v>65698260</v>
      </c>
      <c r="G727">
        <v>76</v>
      </c>
      <c r="H727" s="2">
        <f>(Query1[[#This Row],[Close]]-Query1[[#This Row],[IPO ISSUE PRICE]])/Query1[[#This Row],[IPO ISSUE PRICE]]</f>
        <v>1.7511842105263158</v>
      </c>
      <c r="I727" s="3">
        <f>(Query1[[#This Row],[Close]]-E726)/E726</f>
        <v>2.5101730646663746E-2</v>
      </c>
    </row>
    <row r="728" spans="1:9">
      <c r="A728" s="1">
        <v>45476</v>
      </c>
      <c r="B728">
        <v>209.45</v>
      </c>
      <c r="C728">
        <v>213.95</v>
      </c>
      <c r="D728">
        <v>205.33</v>
      </c>
      <c r="E728">
        <v>208.44</v>
      </c>
      <c r="F728">
        <v>61479240</v>
      </c>
      <c r="G728">
        <v>76</v>
      </c>
      <c r="H728" s="2">
        <f>(Query1[[#This Row],[Close]]-Query1[[#This Row],[IPO ISSUE PRICE]])/Query1[[#This Row],[IPO ISSUE PRICE]]</f>
        <v>1.7426315789473683</v>
      </c>
      <c r="I728" s="3">
        <f>(Query1[[#This Row],[Close]]-E727)/E727</f>
        <v>-3.108709168300759E-3</v>
      </c>
    </row>
    <row r="729" spans="1:9">
      <c r="A729" s="1">
        <v>45477</v>
      </c>
      <c r="B729">
        <v>208.39</v>
      </c>
      <c r="C729">
        <v>210.29</v>
      </c>
      <c r="D729">
        <v>206.7</v>
      </c>
      <c r="E729">
        <v>207.44</v>
      </c>
      <c r="F729">
        <v>30004300</v>
      </c>
      <c r="G729">
        <v>76</v>
      </c>
      <c r="H729" s="2">
        <f>(Query1[[#This Row],[Close]]-Query1[[#This Row],[IPO ISSUE PRICE]])/Query1[[#This Row],[IPO ISSUE PRICE]]</f>
        <v>1.7294736842105263</v>
      </c>
      <c r="I729" s="3">
        <f>(Query1[[#This Row],[Close]]-E728)/E728</f>
        <v>-4.7975436576472843E-3</v>
      </c>
    </row>
    <row r="730" spans="1:9">
      <c r="A730" s="1">
        <v>45478</v>
      </c>
      <c r="B730">
        <v>207</v>
      </c>
      <c r="C730">
        <v>208.4</v>
      </c>
      <c r="D730">
        <v>204.77</v>
      </c>
      <c r="E730">
        <v>207.57</v>
      </c>
      <c r="F730">
        <v>29681220</v>
      </c>
      <c r="G730">
        <v>76</v>
      </c>
      <c r="H730" s="2">
        <f>(Query1[[#This Row],[Close]]-Query1[[#This Row],[IPO ISSUE PRICE]])/Query1[[#This Row],[IPO ISSUE PRICE]]</f>
        <v>1.7311842105263158</v>
      </c>
      <c r="I730" s="3">
        <f>(Query1[[#This Row],[Close]]-E729)/E729</f>
        <v>6.2668723486307106E-4</v>
      </c>
    </row>
    <row r="731" spans="1:9">
      <c r="A731" s="1">
        <v>45481</v>
      </c>
      <c r="B731">
        <v>208.25</v>
      </c>
      <c r="C731">
        <v>210</v>
      </c>
      <c r="D731">
        <v>206</v>
      </c>
      <c r="E731">
        <v>207.93</v>
      </c>
      <c r="F731">
        <v>18260120</v>
      </c>
      <c r="G731">
        <v>76</v>
      </c>
      <c r="H731" s="2">
        <f>(Query1[[#This Row],[Close]]-Query1[[#This Row],[IPO ISSUE PRICE]])/Query1[[#This Row],[IPO ISSUE PRICE]]</f>
        <v>1.7359210526315791</v>
      </c>
      <c r="I731" s="3">
        <f>(Query1[[#This Row],[Close]]-E730)/E730</f>
        <v>1.7343546755312119E-3</v>
      </c>
    </row>
    <row r="732" spans="1:9">
      <c r="A732" s="1">
        <v>45482</v>
      </c>
      <c r="B732">
        <v>207.8</v>
      </c>
      <c r="C732">
        <v>214</v>
      </c>
      <c r="D732">
        <v>206.61</v>
      </c>
      <c r="E732">
        <v>212.56</v>
      </c>
      <c r="F732">
        <v>39312570</v>
      </c>
      <c r="G732">
        <v>76</v>
      </c>
      <c r="H732" s="2">
        <f>(Query1[[#This Row],[Close]]-Query1[[#This Row],[IPO ISSUE PRICE]])/Query1[[#This Row],[IPO ISSUE PRICE]]</f>
        <v>1.796842105263158</v>
      </c>
      <c r="I732" s="3">
        <f>(Query1[[#This Row],[Close]]-E731)/E731</f>
        <v>2.2267109123262612E-2</v>
      </c>
    </row>
    <row r="733" spans="1:9">
      <c r="A733" s="1">
        <v>45483</v>
      </c>
      <c r="B733">
        <v>213</v>
      </c>
      <c r="C733">
        <v>213.39</v>
      </c>
      <c r="D733">
        <v>205.74</v>
      </c>
      <c r="E733">
        <v>211.37</v>
      </c>
      <c r="F733">
        <v>29852040</v>
      </c>
      <c r="G733">
        <v>76</v>
      </c>
      <c r="H733" s="2">
        <f>(Query1[[#This Row],[Close]]-Query1[[#This Row],[IPO ISSUE PRICE]])/Query1[[#This Row],[IPO ISSUE PRICE]]</f>
        <v>1.7811842105263158</v>
      </c>
      <c r="I733" s="3">
        <f>(Query1[[#This Row],[Close]]-E732)/E732</f>
        <v>-5.5984192698532069E-3</v>
      </c>
    </row>
    <row r="734" spans="1:9">
      <c r="A734" s="1">
        <v>45484</v>
      </c>
      <c r="B734">
        <v>211.47</v>
      </c>
      <c r="C734">
        <v>218.95</v>
      </c>
      <c r="D734">
        <v>211.37</v>
      </c>
      <c r="E734">
        <v>217.14</v>
      </c>
      <c r="F734">
        <v>45769090</v>
      </c>
      <c r="G734">
        <v>76</v>
      </c>
      <c r="H734" s="2">
        <f>(Query1[[#This Row],[Close]]-Query1[[#This Row],[IPO ISSUE PRICE]])/Query1[[#This Row],[IPO ISSUE PRICE]]</f>
        <v>1.8571052631578946</v>
      </c>
      <c r="I734" s="3">
        <f>(Query1[[#This Row],[Close]]-E733)/E733</f>
        <v>2.7298102852817249E-2</v>
      </c>
    </row>
    <row r="735" spans="1:9">
      <c r="A735" s="1">
        <v>45485</v>
      </c>
      <c r="B735">
        <v>219</v>
      </c>
      <c r="C735">
        <v>223.25</v>
      </c>
      <c r="D735">
        <v>217.05</v>
      </c>
      <c r="E735">
        <v>222.47</v>
      </c>
      <c r="F735">
        <v>45580860</v>
      </c>
      <c r="G735">
        <v>76</v>
      </c>
      <c r="H735" s="2">
        <f>(Query1[[#This Row],[Close]]-Query1[[#This Row],[IPO ISSUE PRICE]])/Query1[[#This Row],[IPO ISSUE PRICE]]</f>
        <v>1.9272368421052632</v>
      </c>
      <c r="I735" s="3">
        <f>(Query1[[#This Row],[Close]]-E734)/E734</f>
        <v>2.4546375610205458E-2</v>
      </c>
    </row>
    <row r="736" spans="1:9">
      <c r="A736" s="1">
        <v>45488</v>
      </c>
      <c r="B736">
        <v>225</v>
      </c>
      <c r="C736">
        <v>232</v>
      </c>
      <c r="D736">
        <v>225</v>
      </c>
      <c r="E736">
        <v>229.15</v>
      </c>
      <c r="F736">
        <v>51203050</v>
      </c>
      <c r="G736">
        <v>76</v>
      </c>
      <c r="H736" s="2">
        <f>(Query1[[#This Row],[Close]]-Query1[[#This Row],[IPO ISSUE PRICE]])/Query1[[#This Row],[IPO ISSUE PRICE]]</f>
        <v>2.0151315789473685</v>
      </c>
      <c r="I736" s="3">
        <f>(Query1[[#This Row],[Close]]-E735)/E735</f>
        <v>3.0026520429720892E-2</v>
      </c>
    </row>
    <row r="737" spans="1:9">
      <c r="A737" s="1">
        <v>45489</v>
      </c>
      <c r="B737">
        <v>230</v>
      </c>
      <c r="C737">
        <v>230.35</v>
      </c>
      <c r="D737">
        <v>215.3</v>
      </c>
      <c r="E737">
        <v>217.49</v>
      </c>
      <c r="F737">
        <v>44681030</v>
      </c>
      <c r="G737">
        <v>76</v>
      </c>
      <c r="H737" s="2">
        <f>(Query1[[#This Row],[Close]]-Query1[[#This Row],[IPO ISSUE PRICE]])/Query1[[#This Row],[IPO ISSUE PRICE]]</f>
        <v>1.8617105263157896</v>
      </c>
      <c r="I737" s="3">
        <f>(Query1[[#This Row],[Close]]-E736)/E736</f>
        <v>-5.0883700632773275E-2</v>
      </c>
    </row>
    <row r="738" spans="1:9">
      <c r="A738" s="1">
        <v>45491</v>
      </c>
      <c r="B738">
        <v>217.75</v>
      </c>
      <c r="C738">
        <v>221.4</v>
      </c>
      <c r="D738">
        <v>210.25</v>
      </c>
      <c r="E738">
        <v>220.62</v>
      </c>
      <c r="F738">
        <v>58537670</v>
      </c>
      <c r="G738">
        <v>76</v>
      </c>
      <c r="H738" s="2">
        <f>(Query1[[#This Row],[Close]]-Query1[[#This Row],[IPO ISSUE PRICE]])/Query1[[#This Row],[IPO ISSUE PRICE]]</f>
        <v>1.9028947368421054</v>
      </c>
      <c r="I738" s="3">
        <f>(Query1[[#This Row],[Close]]-E737)/E737</f>
        <v>1.4391466274311442E-2</v>
      </c>
    </row>
    <row r="739" spans="1:9">
      <c r="A739" s="1">
        <v>45492</v>
      </c>
      <c r="B739">
        <v>217.99</v>
      </c>
      <c r="C739">
        <v>220.49</v>
      </c>
      <c r="D739">
        <v>213.67</v>
      </c>
      <c r="E739">
        <v>218.89</v>
      </c>
      <c r="F739">
        <v>39257870</v>
      </c>
      <c r="G739">
        <v>76</v>
      </c>
      <c r="H739" s="2">
        <f>(Query1[[#This Row],[Close]]-Query1[[#This Row],[IPO ISSUE PRICE]])/Query1[[#This Row],[IPO ISSUE PRICE]]</f>
        <v>1.8801315789473683</v>
      </c>
      <c r="I739" s="3">
        <f>(Query1[[#This Row],[Close]]-E738)/E738</f>
        <v>-7.8415374852688711E-3</v>
      </c>
    </row>
    <row r="740" spans="1:9">
      <c r="A740" s="1">
        <v>45495</v>
      </c>
      <c r="B740">
        <v>214</v>
      </c>
      <c r="C740">
        <v>222.19</v>
      </c>
      <c r="D740">
        <v>214</v>
      </c>
      <c r="E740">
        <v>221.66</v>
      </c>
      <c r="F740">
        <v>33701480</v>
      </c>
      <c r="G740">
        <v>76</v>
      </c>
      <c r="H740" s="2">
        <f>(Query1[[#This Row],[Close]]-Query1[[#This Row],[IPO ISSUE PRICE]])/Query1[[#This Row],[IPO ISSUE PRICE]]</f>
        <v>1.9165789473684209</v>
      </c>
      <c r="I740" s="3">
        <f>(Query1[[#This Row],[Close]]-E739)/E739</f>
        <v>1.2654758097674679E-2</v>
      </c>
    </row>
    <row r="741" spans="1:9">
      <c r="A741" s="1">
        <v>45496</v>
      </c>
      <c r="B741">
        <v>222.5</v>
      </c>
      <c r="C741">
        <v>223.72</v>
      </c>
      <c r="D741">
        <v>207</v>
      </c>
      <c r="E741">
        <v>217.91</v>
      </c>
      <c r="F741">
        <v>36589820</v>
      </c>
      <c r="G741">
        <v>76</v>
      </c>
      <c r="H741" s="2">
        <f>(Query1[[#This Row],[Close]]-Query1[[#This Row],[IPO ISSUE PRICE]])/Query1[[#This Row],[IPO ISSUE PRICE]]</f>
        <v>1.8672368421052632</v>
      </c>
      <c r="I741" s="3">
        <f>(Query1[[#This Row],[Close]]-E740)/E740</f>
        <v>-1.6917802039159074E-2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F82A-4785-4690-9640-37D1A2204D03}">
  <dimension ref="B2:N9"/>
  <sheetViews>
    <sheetView tabSelected="1" workbookViewId="0">
      <selection activeCell="B9" sqref="B9"/>
    </sheetView>
  </sheetViews>
  <sheetFormatPr defaultRowHeight="14.5"/>
  <cols>
    <col min="2" max="2" width="12.81640625" customWidth="1"/>
    <col min="3" max="3" width="14.90625" customWidth="1"/>
    <col min="12" max="12" width="10.08984375" bestFit="1" customWidth="1"/>
    <col min="13" max="13" width="12.1796875" customWidth="1"/>
    <col min="14" max="14" width="11.36328125" bestFit="1" customWidth="1"/>
  </cols>
  <sheetData>
    <row r="2" spans="2:14">
      <c r="B2" s="6" t="s">
        <v>11</v>
      </c>
      <c r="C2" s="6" t="s">
        <v>16</v>
      </c>
      <c r="K2" s="6" t="s">
        <v>18</v>
      </c>
      <c r="L2" s="6" t="s">
        <v>0</v>
      </c>
      <c r="M2" s="6" t="s">
        <v>19</v>
      </c>
      <c r="N2" s="6" t="s">
        <v>20</v>
      </c>
    </row>
    <row r="3" spans="2:14" ht="29">
      <c r="B3" s="7" t="s">
        <v>12</v>
      </c>
      <c r="C3" s="8">
        <f>MAX(Query1[High])</f>
        <v>232</v>
      </c>
      <c r="K3" s="7" t="s">
        <v>21</v>
      </c>
      <c r="L3" s="10">
        <v>44400</v>
      </c>
      <c r="M3" s="7">
        <f>_xlfn.XLOOKUP(Table3[[#This Row],[Date]],Query1[Date],Query1[Close],FALSE)</f>
        <v>126</v>
      </c>
      <c r="N3" s="11">
        <f>(Table3[[#This Row],[Close Price]]-76)/76</f>
        <v>0.65789473684210531</v>
      </c>
    </row>
    <row r="4" spans="2:14">
      <c r="B4" s="7" t="s">
        <v>13</v>
      </c>
      <c r="C4" s="8">
        <f>MIN(Query1[Low])</f>
        <v>40.6</v>
      </c>
      <c r="K4" s="7" t="s">
        <v>22</v>
      </c>
      <c r="L4" s="10">
        <v>44407</v>
      </c>
      <c r="M4" s="7">
        <f>_xlfn.XLOOKUP(Table3[[#This Row],[Date]],Query1[Date],Query1[Close],FALSE)</f>
        <v>133.5</v>
      </c>
      <c r="N4" s="11">
        <f>(Table3[[#This Row],[Close Price]]-76)/76</f>
        <v>0.75657894736842102</v>
      </c>
    </row>
    <row r="5" spans="2:14" ht="29">
      <c r="B5" s="7" t="s">
        <v>14</v>
      </c>
      <c r="C5" s="8">
        <f>AVERAGE(Query1[Volume])</f>
        <v>65199222.689189188</v>
      </c>
      <c r="K5" s="7" t="s">
        <v>23</v>
      </c>
      <c r="L5" s="10">
        <v>44431</v>
      </c>
      <c r="M5" s="7">
        <f>_xlfn.XLOOKUP(Table3[[#This Row],[Date]],Query1[Date],Query1[Close],FALSE)</f>
        <v>127.25</v>
      </c>
      <c r="N5" s="11">
        <f>(Table3[[#This Row],[Close Price]]-76)/76</f>
        <v>0.67434210526315785</v>
      </c>
    </row>
    <row r="6" spans="2:14">
      <c r="B6" s="7" t="s">
        <v>15</v>
      </c>
      <c r="C6" s="9" cm="1">
        <f t="array" ref="C6">MAX(Query1[High]-76)/76</f>
        <v>2.0526315789473686</v>
      </c>
      <c r="K6" s="7" t="s">
        <v>24</v>
      </c>
      <c r="L6" s="10">
        <v>44491</v>
      </c>
      <c r="M6" s="7">
        <f>_xlfn.XLOOKUP(Table3[[#This Row],[Date]],Query1[Date],Query1[Close],FALSE)</f>
        <v>137.75</v>
      </c>
      <c r="N6" s="11">
        <f>(Table3[[#This Row],[Close Price]]-76)/76</f>
        <v>0.8125</v>
      </c>
    </row>
    <row r="7" spans="2:14" ht="29">
      <c r="B7" s="7" t="s">
        <v>17</v>
      </c>
      <c r="C7" s="2">
        <f>(Query1!B2-Query1!G2)/Query1!G2</f>
        <v>0.52631578947368418</v>
      </c>
      <c r="K7" s="7" t="s">
        <v>25</v>
      </c>
      <c r="L7" s="10">
        <v>44764</v>
      </c>
      <c r="M7" s="7">
        <f>_xlfn.XLOOKUP(Table3[[#This Row],[Date]],Query1[Date],Query1[Close],FALSE)</f>
        <v>53.65</v>
      </c>
      <c r="N7" s="11">
        <f>(Table3[[#This Row],[Close Price]]-76)/76</f>
        <v>-0.29407894736842105</v>
      </c>
    </row>
    <row r="8" spans="2:14">
      <c r="B8" s="7" t="s">
        <v>27</v>
      </c>
      <c r="C8" s="12">
        <f>Query1!E741</f>
        <v>217.91</v>
      </c>
      <c r="K8" s="7" t="s">
        <v>26</v>
      </c>
      <c r="L8" s="10">
        <v>45496</v>
      </c>
      <c r="M8" s="7">
        <f>_xlfn.XLOOKUP(Table3[[#This Row],[Date]],Query1[Date],Query1[Close],FALSE)</f>
        <v>217.91</v>
      </c>
      <c r="N8" s="11">
        <f>(Table3[[#This Row],[Close Price]]-76)/76</f>
        <v>1.8672368421052632</v>
      </c>
    </row>
    <row r="9" spans="2:14">
      <c r="B9" s="7" t="s">
        <v>28</v>
      </c>
      <c r="C9" s="9">
        <f>(Sheet1!C8-76)/76</f>
        <v>1.8672368421052632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1FC704-A351-439B-BA54-D09F87FA2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biswas</dc:creator>
  <cp:lastModifiedBy>palash biswas</cp:lastModifiedBy>
  <dcterms:created xsi:type="dcterms:W3CDTF">2026-03-14T11:03:45Z</dcterms:created>
  <dcterms:modified xsi:type="dcterms:W3CDTF">2026-03-14T18:17:38Z</dcterms:modified>
</cp:coreProperties>
</file>